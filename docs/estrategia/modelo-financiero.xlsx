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e esto" sheetId="1" state="visible" r:id="rId3"/>
    <sheet name="Supuestos" sheetId="2" state="visible" r:id="rId4"/>
    <sheet name="Conservador" sheetId="3" state="visible" r:id="rId5"/>
    <sheet name="Base" sheetId="4" state="visible" r:id="rId6"/>
    <sheet name="Optimis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<sst xmlns="http://schemas.openxmlformats.org/spreadsheetml/2006/main" count="133" uniqueCount="74">
  <si>
    <t xml:space="preserve">Qué es: un modelo para decidir, no una previsión.</t>
  </si>
  <si>
    <t xml:space="preserve">Todo lo amarillo es una hipótesis. No hay clientes de pago todavía (celda verde).</t>
  </si>
  <si>
    <t xml:space="preserve">Cómo usarlo: cambia los supuestos en la hoja «Supuestos»; las tres hojas de escenario se recalculan solas.</t>
  </si>
  <si>
    <t xml:space="preserve">Qué no incluye: IVA, impuestos sobre beneficios, sueldos del titular, publicidad de pago, costes de WhatsApp (no se ofrece todavía).</t>
  </si>
  <si>
    <t xml:space="preserve">Antes de usarlo para pedir financiación o fijar precios: sustituir las hipótesis por datos de los pilotos (soporte real, conversión real, bajas reales).</t>
  </si>
  <si>
    <t xml:space="preserve">Repite · Modelo financiero inicial (EDITABLE)</t>
  </si>
  <si>
    <t xml:space="preserve">Celdas amarillas = HIPÓTESIS (cámbialas). Verde = dato verificado. Importes en EUR, sin IVA. Revisar precios de proveedores antes de contratar.</t>
  </si>
  <si>
    <t xml:space="preserve">Supuesto</t>
  </si>
  <si>
    <t xml:space="preserve">Conservador</t>
  </si>
  <si>
    <t xml:space="preserve">Base</t>
  </si>
  <si>
    <t xml:space="preserve">Optimista</t>
  </si>
  <si>
    <t xml:space="preserve">Tipo</t>
  </si>
  <si>
    <t xml:space="preserve">Nota</t>
  </si>
  <si>
    <t xml:space="preserve">Nuevos clientes de pago en el mes 1</t>
  </si>
  <si>
    <t xml:space="preserve">hipótesis</t>
  </si>
  <si>
    <t xml:space="preserve">Clientes que pasan a pagar tras la prueba</t>
  </si>
  <si>
    <t xml:space="preserve">Crecimiento mensual de altas (%)</t>
  </si>
  <si>
    <t xml:space="preserve">Sobre las altas del mes anterior</t>
  </si>
  <si>
    <t xml:space="preserve">Bajas mensuales (churn, %)</t>
  </si>
  <si>
    <t xml:space="preserve">Sobre clientes activos</t>
  </si>
  <si>
    <t xml:space="preserve">% de clientes en Growth</t>
  </si>
  <si>
    <t xml:space="preserve">El resto está en Esencial</t>
  </si>
  <si>
    <t xml:space="preserve">Precio Esencial (€/mes)</t>
  </si>
  <si>
    <t xml:space="preserve">A validar con pilotos</t>
  </si>
  <si>
    <t xml:space="preserve">Precio Growth (€/mes)</t>
  </si>
  <si>
    <t xml:space="preserve">Coste de adquisición por cliente (€)</t>
  </si>
  <si>
    <t xml:space="preserve">Tiempo comercial + material; sin publicidad de pago</t>
  </si>
  <si>
    <t xml:space="preserve">Minutos de soporte por cliente y mes</t>
  </si>
  <si>
    <t xml:space="preserve">Medir en pilotos</t>
  </si>
  <si>
    <t xml:space="preserve">Coste hora de soporte (€)</t>
  </si>
  <si>
    <t xml:space="preserve">Coste interno estimado</t>
  </si>
  <si>
    <t xml:space="preserve">Comisión de cobro (% sobre ingreso)</t>
  </si>
  <si>
    <t xml:space="preserve">Tarifa estándar de tarjetas europeas del proveedor de cobro: verificar</t>
  </si>
  <si>
    <t xml:space="preserve">Comisión fija por cobro (€)</t>
  </si>
  <si>
    <t xml:space="preserve">Idem; verificar</t>
  </si>
  <si>
    <t xml:space="preserve">Hosting web (€/mes)</t>
  </si>
  <si>
    <t xml:space="preserve">Plan de pago del proveedor de despliegue (≈20 USD): verificar</t>
  </si>
  <si>
    <t xml:space="preserve">Base de datos (€/mes)</t>
  </si>
  <si>
    <t xml:space="preserve">Plan con copias diarias (≈25 USD): verificar</t>
  </si>
  <si>
    <t xml:space="preserve">Cuenta de desarrollador Apple (€/mes)</t>
  </si>
  <si>
    <t xml:space="preserve">99 USD/año aprox. para Apple Wallet: verificar</t>
  </si>
  <si>
    <t xml:space="preserve">Correo transaccional y dominio (€/mes)</t>
  </si>
  <si>
    <t xml:space="preserve">Verificar según volumen</t>
  </si>
  <si>
    <t xml:space="preserve">Contabilidad y gestoría (€/mes)</t>
  </si>
  <si>
    <t xml:space="preserve">Estimación</t>
  </si>
  <si>
    <t xml:space="preserve">Otras herramientas (€/mes)</t>
  </si>
  <si>
    <t xml:space="preserve">Costes únicos iniciales (€)</t>
  </si>
  <si>
    <t xml:space="preserve">Asesoría jurídica (RGPD, términos, encargo), alta de actividad</t>
  </si>
  <si>
    <t xml:space="preserve">Clientes de pago hoy</t>
  </si>
  <si>
    <t xml:space="preserve">verificado</t>
  </si>
  <si>
    <t xml:space="preserve">Producción: 0 organizaciones a 25-oct-2026</t>
  </si>
  <si>
    <t xml:space="preserve">Escenario Conservador · 12 primeros meses</t>
  </si>
  <si>
    <t xml:space="preserve">Mes</t>
  </si>
  <si>
    <t xml:space="preserve">Altas</t>
  </si>
  <si>
    <t xml:space="preserve">Bajas</t>
  </si>
  <si>
    <t xml:space="preserve">Clientes activos</t>
  </si>
  <si>
    <t xml:space="preserve">MRR (€)</t>
  </si>
  <si>
    <t xml:space="preserve">Comisiones de cobro (€)</t>
  </si>
  <si>
    <t xml:space="preserve">Soporte (€)</t>
  </si>
  <si>
    <t xml:space="preserve">Costes fijos (€)</t>
  </si>
  <si>
    <t xml:space="preserve">Adquisición (€)</t>
  </si>
  <si>
    <t xml:space="preserve">Resultado del mes (€)</t>
  </si>
  <si>
    <t xml:space="preserve">Resultado acumulado (€)</t>
  </si>
  <si>
    <t xml:space="preserve">Margen bruto (%)</t>
  </si>
  <si>
    <t xml:space="preserve">Resumen</t>
  </si>
  <si>
    <t xml:space="preserve">MRR al mes 12 (€)</t>
  </si>
  <si>
    <t xml:space="preserve">ARR (MRR × 12, €)</t>
  </si>
  <si>
    <t xml:space="preserve">Clientes activos al mes 12</t>
  </si>
  <si>
    <t xml:space="preserve">Resultado acumulado al mes 12 (€)</t>
  </si>
  <si>
    <t xml:space="preserve">Primer mes con resultado mensual positivo</t>
  </si>
  <si>
    <t xml:space="preserve">Ingreso medio por cliente (€/mes)</t>
  </si>
  <si>
    <t xml:space="preserve">Recuperación del coste de adquisición (meses)</t>
  </si>
  <si>
    <t xml:space="preserve">Escenario Base · 12 primeros meses</t>
  </si>
  <si>
    <t xml:space="preserve">Escenario Optimista · 12 primeros meses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</si>
</sst>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"/>
    <numFmt numFmtId="167" formatCode="#,##0"/>
    <numFmt numFmtId="168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4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5</v>
      </c>
    </row>
    <row r="2" customFormat="false" ht="15" hidden="false" customHeight="false" outlineLevel="0" collapsed="false">
      <c r="A2" s="0" t="s">
        <v>6</v>
      </c>
    </row>
    <row r="4" customFormat="false" ht="15" hidden="false" customHeight="false" outlineLevel="0" collapsed="false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customFormat="false" ht="15" hidden="false" customHeight="false" outlineLevel="0" collapsed="false">
      <c r="A5" s="0" t="s">
        <v>13</v>
      </c>
      <c r="B5" s="3" t="n">
        <v>1</v>
      </c>
      <c r="C5" s="3" t="n">
        <v>2</v>
      </c>
      <c r="D5" s="3" t="n">
        <v>4</v>
      </c>
      <c r="E5" s="4" t="s">
        <v>14</v>
      </c>
      <c r="F5" s="4" t="s">
        <v>15</v>
      </c>
    </row>
    <row r="6" customFormat="false" ht="15" hidden="false" customHeight="false" outlineLevel="0" collapsed="false">
      <c r="A6" s="0" t="s">
        <v>16</v>
      </c>
      <c r="B6" s="5" t="n">
        <v>0.1</v>
      </c>
      <c r="C6" s="5" t="n">
        <v>0.15</v>
      </c>
      <c r="D6" s="5" t="n">
        <v>0.2</v>
      </c>
      <c r="E6" s="4" t="s">
        <v>14</v>
      </c>
      <c r="F6" s="4" t="s">
        <v>17</v>
      </c>
    </row>
    <row r="7" customFormat="false" ht="15" hidden="false" customHeight="false" outlineLevel="0" collapsed="false">
      <c r="A7" s="0" t="s">
        <v>18</v>
      </c>
      <c r="B7" s="5" t="n">
        <v>0.08</v>
      </c>
      <c r="C7" s="5" t="n">
        <v>0.05</v>
      </c>
      <c r="D7" s="5" t="n">
        <v>0.03</v>
      </c>
      <c r="E7" s="4" t="s">
        <v>14</v>
      </c>
      <c r="F7" s="4" t="s">
        <v>19</v>
      </c>
    </row>
    <row r="8" customFormat="false" ht="15" hidden="false" customHeight="false" outlineLevel="0" collapsed="false">
      <c r="A8" s="0" t="s">
        <v>20</v>
      </c>
      <c r="B8" s="5" t="n">
        <v>0.15</v>
      </c>
      <c r="C8" s="5" t="n">
        <v>0.25</v>
      </c>
      <c r="D8" s="5" t="n">
        <v>0.35</v>
      </c>
      <c r="E8" s="4" t="s">
        <v>14</v>
      </c>
      <c r="F8" s="4" t="s">
        <v>21</v>
      </c>
    </row>
    <row r="9" customFormat="false" ht="15" hidden="false" customHeight="false" outlineLevel="0" collapsed="false">
      <c r="A9" s="0" t="s">
        <v>22</v>
      </c>
      <c r="B9" s="3" t="n">
        <v>25</v>
      </c>
      <c r="C9" s="3" t="n">
        <v>25</v>
      </c>
      <c r="D9" s="3" t="n">
        <v>25</v>
      </c>
      <c r="E9" s="4" t="s">
        <v>14</v>
      </c>
      <c r="F9" s="4" t="s">
        <v>23</v>
      </c>
    </row>
    <row r="10" customFormat="false" ht="15" hidden="false" customHeight="false" outlineLevel="0" collapsed="false">
      <c r="A10" s="0" t="s">
        <v>24</v>
      </c>
      <c r="B10" s="3" t="n">
        <v>49</v>
      </c>
      <c r="C10" s="3" t="n">
        <v>49</v>
      </c>
      <c r="D10" s="3" t="n">
        <v>49</v>
      </c>
      <c r="E10" s="4" t="s">
        <v>14</v>
      </c>
      <c r="F10" s="4" t="s">
        <v>23</v>
      </c>
    </row>
    <row r="11" customFormat="false" ht="15" hidden="false" customHeight="false" outlineLevel="0" collapsed="false">
      <c r="A11" s="0" t="s">
        <v>25</v>
      </c>
      <c r="B11" s="3" t="n">
        <v>120</v>
      </c>
      <c r="C11" s="3" t="n">
        <v>90</v>
      </c>
      <c r="D11" s="3" t="n">
        <v>60</v>
      </c>
      <c r="E11" s="4" t="s">
        <v>14</v>
      </c>
      <c r="F11" s="4" t="s">
        <v>26</v>
      </c>
    </row>
    <row r="12" customFormat="false" ht="15" hidden="false" customHeight="false" outlineLevel="0" collapsed="false">
      <c r="A12" s="0" t="s">
        <v>27</v>
      </c>
      <c r="B12" s="3" t="n">
        <v>45</v>
      </c>
      <c r="C12" s="3" t="n">
        <v>30</v>
      </c>
      <c r="D12" s="3" t="n">
        <v>20</v>
      </c>
      <c r="E12" s="4" t="s">
        <v>14</v>
      </c>
      <c r="F12" s="4" t="s">
        <v>28</v>
      </c>
    </row>
    <row r="13" customFormat="false" ht="15" hidden="false" customHeight="false" outlineLevel="0" collapsed="false">
      <c r="A13" s="0" t="s">
        <v>29</v>
      </c>
      <c r="B13" s="3" t="n">
        <v>20</v>
      </c>
      <c r="C13" s="3" t="n">
        <v>20</v>
      </c>
      <c r="D13" s="3" t="n">
        <v>20</v>
      </c>
      <c r="E13" s="4" t="s">
        <v>14</v>
      </c>
      <c r="F13" s="4" t="s">
        <v>30</v>
      </c>
    </row>
    <row r="14" customFormat="false" ht="15" hidden="false" customHeight="false" outlineLevel="0" collapsed="false">
      <c r="A14" s="0" t="s">
        <v>31</v>
      </c>
      <c r="B14" s="5" t="n">
        <v>0.015</v>
      </c>
      <c r="C14" s="5" t="n">
        <v>0.015</v>
      </c>
      <c r="D14" s="5" t="n">
        <v>0.015</v>
      </c>
      <c r="E14" s="4" t="s">
        <v>14</v>
      </c>
      <c r="F14" s="4" t="s">
        <v>32</v>
      </c>
    </row>
    <row r="15" customFormat="false" ht="15" hidden="false" customHeight="false" outlineLevel="0" collapsed="false">
      <c r="A15" s="0" t="s">
        <v>33</v>
      </c>
      <c r="B15" s="5" t="n">
        <v>0.25</v>
      </c>
      <c r="C15" s="5" t="n">
        <v>0.25</v>
      </c>
      <c r="D15" s="5" t="n">
        <v>0.25</v>
      </c>
      <c r="E15" s="4" t="s">
        <v>14</v>
      </c>
      <c r="F15" s="4" t="s">
        <v>34</v>
      </c>
    </row>
    <row r="16" customFormat="false" ht="15" hidden="false" customHeight="false" outlineLevel="0" collapsed="false">
      <c r="A16" s="0" t="s">
        <v>35</v>
      </c>
      <c r="B16" s="3" t="n">
        <v>19</v>
      </c>
      <c r="C16" s="3" t="n">
        <v>19</v>
      </c>
      <c r="D16" s="3" t="n">
        <v>19</v>
      </c>
      <c r="E16" s="4" t="s">
        <v>14</v>
      </c>
      <c r="F16" s="4" t="s">
        <v>36</v>
      </c>
    </row>
    <row r="17" customFormat="false" ht="15" hidden="false" customHeight="false" outlineLevel="0" collapsed="false">
      <c r="A17" s="0" t="s">
        <v>37</v>
      </c>
      <c r="B17" s="3" t="n">
        <v>23</v>
      </c>
      <c r="C17" s="3" t="n">
        <v>23</v>
      </c>
      <c r="D17" s="3" t="n">
        <v>23</v>
      </c>
      <c r="E17" s="4" t="s">
        <v>14</v>
      </c>
      <c r="F17" s="4" t="s">
        <v>38</v>
      </c>
    </row>
    <row r="18" customFormat="false" ht="15" hidden="false" customHeight="false" outlineLevel="0" collapsed="false">
      <c r="A18" s="0" t="s">
        <v>39</v>
      </c>
      <c r="B18" s="3" t="n">
        <v>8</v>
      </c>
      <c r="C18" s="3" t="n">
        <v>8</v>
      </c>
      <c r="D18" s="3" t="n">
        <v>8</v>
      </c>
      <c r="E18" s="4" t="s">
        <v>14</v>
      </c>
      <c r="F18" s="4" t="s">
        <v>40</v>
      </c>
    </row>
    <row r="19" customFormat="false" ht="15" hidden="false" customHeight="false" outlineLevel="0" collapsed="false">
      <c r="A19" s="0" t="s">
        <v>41</v>
      </c>
      <c r="B19" s="3" t="n">
        <v>5</v>
      </c>
      <c r="C19" s="3" t="n">
        <v>5</v>
      </c>
      <c r="D19" s="3" t="n">
        <v>5</v>
      </c>
      <c r="E19" s="4" t="s">
        <v>14</v>
      </c>
      <c r="F19" s="4" t="s">
        <v>42</v>
      </c>
    </row>
    <row r="20" customFormat="false" ht="15" hidden="false" customHeight="false" outlineLevel="0" collapsed="false">
      <c r="A20" s="0" t="s">
        <v>43</v>
      </c>
      <c r="B20" s="3" t="n">
        <v>60</v>
      </c>
      <c r="C20" s="3" t="n">
        <v>60</v>
      </c>
      <c r="D20" s="3" t="n">
        <v>60</v>
      </c>
      <c r="E20" s="4" t="s">
        <v>14</v>
      </c>
      <c r="F20" s="4" t="s">
        <v>44</v>
      </c>
    </row>
    <row r="21" customFormat="false" ht="15" hidden="false" customHeight="false" outlineLevel="0" collapsed="false">
      <c r="A21" s="0" t="s">
        <v>45</v>
      </c>
      <c r="B21" s="3" t="n">
        <v>20</v>
      </c>
      <c r="C21" s="3" t="n">
        <v>20</v>
      </c>
      <c r="D21" s="3" t="n">
        <v>20</v>
      </c>
      <c r="E21" s="4" t="s">
        <v>14</v>
      </c>
      <c r="F21" s="4" t="s">
        <v>44</v>
      </c>
    </row>
    <row r="22" customFormat="false" ht="15" hidden="false" customHeight="false" outlineLevel="0" collapsed="false">
      <c r="A22" s="0" t="s">
        <v>46</v>
      </c>
      <c r="B22" s="3" t="n">
        <v>3000</v>
      </c>
      <c r="C22" s="3" t="n">
        <v>3000</v>
      </c>
      <c r="D22" s="3" t="n">
        <v>3000</v>
      </c>
      <c r="E22" s="4" t="s">
        <v>14</v>
      </c>
      <c r="F22" s="4" t="s">
        <v>47</v>
      </c>
    </row>
    <row r="23" customFormat="false" ht="15" hidden="false" customHeight="false" outlineLevel="0" collapsed="false">
      <c r="A23" s="0" t="s">
        <v>48</v>
      </c>
      <c r="B23" s="6" t="n">
        <v>0</v>
      </c>
      <c r="C23" s="6" t="n">
        <v>0</v>
      </c>
      <c r="D23" s="6" t="n">
        <v>0</v>
      </c>
      <c r="E23" s="4" t="s">
        <v>49</v>
      </c>
      <c r="F23" s="4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2" min="2" style="0" width="17"/>
  </cols>
  <sheetData>
    <row r="1" customFormat="false" ht="16.15" hidden="false" customHeight="false" outlineLevel="0" collapsed="false">
      <c r="A1" s="7" t="s">
        <v>51</v>
      </c>
    </row>
    <row r="3" customFormat="false" ht="15" hidden="false" customHeight="false" outlineLevel="0" collapsed="false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  <c r="I3" s="2" t="s">
        <v>60</v>
      </c>
      <c r="J3" s="2" t="s">
        <v>61</v>
      </c>
      <c r="K3" s="2" t="s">
        <v>62</v>
      </c>
      <c r="L3" s="2" t="s">
        <v>63</v>
      </c>
    </row>
    <row r="4" customFormat="false" ht="15" hidden="false" customHeight="false" outlineLevel="0" collapsed="false">
      <c r="A4" s="0" t="n">
        <v>1</v>
      </c>
      <c r="B4" s="8" t="n">
        <f aca="false">Supuestos!$B$5*(1+Supuestos!$B$6)^(1-1)</f>
        <v>1</v>
      </c>
      <c r="C4" s="8" t="n">
        <f aca="false">0</f>
        <v>0</v>
      </c>
      <c r="D4" s="8" t="n">
        <f aca="false">B4-C4</f>
        <v>1</v>
      </c>
      <c r="E4" s="9" t="n">
        <f aca="false">D4*((1-Supuestos!$B$8)*Supuestos!$B$9+Supuestos!$B$8*Supuestos!$B$10)</f>
        <v>28.6</v>
      </c>
      <c r="F4" s="9" t="n">
        <f aca="false">E4*Supuestos!$B$14+D4*Supuestos!$B$15</f>
        <v>0.679</v>
      </c>
      <c r="G4" s="9" t="n">
        <f aca="false">D4*Supuestos!$B$12/60*Supuestos!$B$13</f>
        <v>15</v>
      </c>
      <c r="H4" s="9" t="n">
        <f aca="false">Supuestos!$B$16+Supuestos!$B$17+Supuestos!$B$18+Supuestos!$B$19+Supuestos!$B$20+Supuestos!$B$21</f>
        <v>135</v>
      </c>
      <c r="I4" s="9" t="n">
        <f aca="false">B4*Supuestos!$B$11</f>
        <v>120</v>
      </c>
      <c r="J4" s="9" t="n">
        <f aca="false">E4-F4-G4-H4-I4-Supuestos!$B$22</f>
        <v>-3242.079</v>
      </c>
      <c r="K4" s="9" t="n">
        <f aca="false">J4</f>
        <v>-3242.079</v>
      </c>
      <c r="L4" s="10" t="n">
        <f aca="false">IF(E4=0,0,(E4-F4-G4)/E4)</f>
        <v>0.451783216783217</v>
      </c>
    </row>
    <row r="5" customFormat="false" ht="15" hidden="false" customHeight="false" outlineLevel="0" collapsed="false">
      <c r="A5" s="0" t="n">
        <v>2</v>
      </c>
      <c r="B5" s="8" t="n">
        <f aca="false">Supuestos!$B$5*(1+Supuestos!$B$6)^(2-1)</f>
        <v>1.1</v>
      </c>
      <c r="C5" s="8" t="n">
        <f aca="false">D4*Supuestos!$B$7</f>
        <v>0.08</v>
      </c>
      <c r="D5" s="8" t="n">
        <f aca="false">D4+B5-C5</f>
        <v>2.02</v>
      </c>
      <c r="E5" s="9" t="n">
        <f aca="false">D5*((1-Supuestos!$B$8)*Supuestos!$B$9+Supuestos!$B$8*Supuestos!$B$10)</f>
        <v>57.772</v>
      </c>
      <c r="F5" s="9" t="n">
        <f aca="false">E5*Supuestos!$B$14+D5*Supuestos!$B$15</f>
        <v>1.37158</v>
      </c>
      <c r="G5" s="9" t="n">
        <f aca="false">D5*Supuestos!$B$12/60*Supuestos!$B$13</f>
        <v>30.3</v>
      </c>
      <c r="H5" s="9" t="n">
        <f aca="false">Supuestos!$B$16+Supuestos!$B$17+Supuestos!$B$18+Supuestos!$B$19+Supuestos!$B$20+Supuestos!$B$21</f>
        <v>135</v>
      </c>
      <c r="I5" s="9" t="n">
        <f aca="false">B5*Supuestos!$B$11</f>
        <v>132</v>
      </c>
      <c r="J5" s="9" t="n">
        <f aca="false">E5-F5-G5-H5-I5</f>
        <v>-240.89958</v>
      </c>
      <c r="K5" s="9" t="n">
        <f aca="false">K4+J5</f>
        <v>-3482.97858</v>
      </c>
      <c r="L5" s="10" t="n">
        <f aca="false">IF(E5=0,0,(E5-F5-G5)/E5)</f>
        <v>0.451783216783217</v>
      </c>
    </row>
    <row r="6" customFormat="false" ht="15" hidden="false" customHeight="false" outlineLevel="0" collapsed="false">
      <c r="A6" s="0" t="n">
        <v>3</v>
      </c>
      <c r="B6" s="8" t="n">
        <f aca="false">Supuestos!$B$5*(1+Supuestos!$B$6)^(3-1)</f>
        <v>1.21</v>
      </c>
      <c r="C6" s="8" t="n">
        <f aca="false">D5*Supuestos!$B$7</f>
        <v>0.1616</v>
      </c>
      <c r="D6" s="8" t="n">
        <f aca="false">D5+B6-C6</f>
        <v>3.0684</v>
      </c>
      <c r="E6" s="9" t="n">
        <f aca="false">D6*((1-Supuestos!$B$8)*Supuestos!$B$9+Supuestos!$B$8*Supuestos!$B$10)</f>
        <v>87.75624</v>
      </c>
      <c r="F6" s="9" t="n">
        <f aca="false">E6*Supuestos!$B$14+D6*Supuestos!$B$15</f>
        <v>2.0834436</v>
      </c>
      <c r="G6" s="9" t="n">
        <f aca="false">D6*Supuestos!$B$12/60*Supuestos!$B$13</f>
        <v>46.026</v>
      </c>
      <c r="H6" s="9" t="n">
        <f aca="false">Supuestos!$B$16+Supuestos!$B$17+Supuestos!$B$18+Supuestos!$B$19+Supuestos!$B$20+Supuestos!$B$21</f>
        <v>135</v>
      </c>
      <c r="I6" s="9" t="n">
        <f aca="false">B6*Supuestos!$B$11</f>
        <v>145.2</v>
      </c>
      <c r="J6" s="9" t="n">
        <f aca="false">E6-F6-G6-H6-I6</f>
        <v>-240.5532036</v>
      </c>
      <c r="K6" s="9" t="n">
        <f aca="false">K5+J6</f>
        <v>-3723.5317836</v>
      </c>
      <c r="L6" s="10" t="n">
        <f aca="false">IF(E6=0,0,(E6-F6-G6)/E6)</f>
        <v>0.451783216783217</v>
      </c>
    </row>
    <row r="7" customFormat="false" ht="15" hidden="false" customHeight="false" outlineLevel="0" collapsed="false">
      <c r="A7" s="0" t="n">
        <v>4</v>
      </c>
      <c r="B7" s="8" t="n">
        <f aca="false">Supuestos!$B$5*(1+Supuestos!$B$6)^(4-1)</f>
        <v>1.331</v>
      </c>
      <c r="C7" s="8" t="n">
        <f aca="false">D6*Supuestos!$B$7</f>
        <v>0.245472</v>
      </c>
      <c r="D7" s="8" t="n">
        <f aca="false">D6+B7-C7</f>
        <v>4.153928</v>
      </c>
      <c r="E7" s="9" t="n">
        <f aca="false">D7*((1-Supuestos!$B$8)*Supuestos!$B$9+Supuestos!$B$8*Supuestos!$B$10)</f>
        <v>118.8023408</v>
      </c>
      <c r="F7" s="9" t="n">
        <f aca="false">E7*Supuestos!$B$14+D7*Supuestos!$B$15</f>
        <v>2.820517112</v>
      </c>
      <c r="G7" s="9" t="n">
        <f aca="false">D7*Supuestos!$B$12/60*Supuestos!$B$13</f>
        <v>62.30892</v>
      </c>
      <c r="H7" s="9" t="n">
        <f aca="false">Supuestos!$B$16+Supuestos!$B$17+Supuestos!$B$18+Supuestos!$B$19+Supuestos!$B$20+Supuestos!$B$21</f>
        <v>135</v>
      </c>
      <c r="I7" s="9" t="n">
        <f aca="false">B7*Supuestos!$B$11</f>
        <v>159.72</v>
      </c>
      <c r="J7" s="9" t="n">
        <f aca="false">E7-F7-G7-H7-I7</f>
        <v>-241.047096312</v>
      </c>
      <c r="K7" s="9" t="n">
        <f aca="false">K6+J7</f>
        <v>-3964.578879912</v>
      </c>
      <c r="L7" s="10" t="n">
        <f aca="false">IF(E7=0,0,(E7-F7-G7)/E7)</f>
        <v>0.451783216783217</v>
      </c>
    </row>
    <row r="8" customFormat="false" ht="15" hidden="false" customHeight="false" outlineLevel="0" collapsed="false">
      <c r="A8" s="0" t="n">
        <v>5</v>
      </c>
      <c r="B8" s="8" t="n">
        <f aca="false">Supuestos!$B$5*(1+Supuestos!$B$6)^(5-1)</f>
        <v>1.4641</v>
      </c>
      <c r="C8" s="8" t="n">
        <f aca="false">D7*Supuestos!$B$7</f>
        <v>0.33231424</v>
      </c>
      <c r="D8" s="8" t="n">
        <f aca="false">D7+B8-C8</f>
        <v>5.28571376</v>
      </c>
      <c r="E8" s="9" t="n">
        <f aca="false">D8*((1-Supuestos!$B$8)*Supuestos!$B$9+Supuestos!$B$8*Supuestos!$B$10)</f>
        <v>151.171413536</v>
      </c>
      <c r="F8" s="9" t="n">
        <f aca="false">E8*Supuestos!$B$14+D8*Supuestos!$B$15</f>
        <v>3.58899964304</v>
      </c>
      <c r="G8" s="9" t="n">
        <f aca="false">D8*Supuestos!$B$12/60*Supuestos!$B$13</f>
        <v>79.2857064</v>
      </c>
      <c r="H8" s="9" t="n">
        <f aca="false">Supuestos!$B$16+Supuestos!$B$17+Supuestos!$B$18+Supuestos!$B$19+Supuestos!$B$20+Supuestos!$B$21</f>
        <v>135</v>
      </c>
      <c r="I8" s="9" t="n">
        <f aca="false">B8*Supuestos!$B$11</f>
        <v>175.692</v>
      </c>
      <c r="J8" s="9" t="n">
        <f aca="false">E8-F8-G8-H8-I8</f>
        <v>-242.39529250704</v>
      </c>
      <c r="K8" s="9" t="n">
        <f aca="false">K7+J8</f>
        <v>-4206.97417241904</v>
      </c>
      <c r="L8" s="10" t="n">
        <f aca="false">IF(E8=0,0,(E8-F8-G8)/E8)</f>
        <v>0.451783216783217</v>
      </c>
    </row>
    <row r="9" customFormat="false" ht="15" hidden="false" customHeight="false" outlineLevel="0" collapsed="false">
      <c r="A9" s="0" t="n">
        <v>6</v>
      </c>
      <c r="B9" s="8" t="n">
        <f aca="false">Supuestos!$B$5*(1+Supuestos!$B$6)^(6-1)</f>
        <v>1.61051</v>
      </c>
      <c r="C9" s="8" t="n">
        <f aca="false">D8*Supuestos!$B$7</f>
        <v>0.4228571008</v>
      </c>
      <c r="D9" s="8" t="n">
        <f aca="false">D8+B9-C9</f>
        <v>6.4733666592</v>
      </c>
      <c r="E9" s="9" t="n">
        <f aca="false">D9*((1-Supuestos!$B$8)*Supuestos!$B$9+Supuestos!$B$8*Supuestos!$B$10)</f>
        <v>185.13828645312</v>
      </c>
      <c r="F9" s="9" t="n">
        <f aca="false">E9*Supuestos!$B$14+D9*Supuestos!$B$15</f>
        <v>4.3954159615968</v>
      </c>
      <c r="G9" s="9" t="n">
        <f aca="false">D9*Supuestos!$B$12/60*Supuestos!$B$13</f>
        <v>97.100499888</v>
      </c>
      <c r="H9" s="9" t="n">
        <f aca="false">Supuestos!$B$16+Supuestos!$B$17+Supuestos!$B$18+Supuestos!$B$19+Supuestos!$B$20+Supuestos!$B$21</f>
        <v>135</v>
      </c>
      <c r="I9" s="9" t="n">
        <f aca="false">B9*Supuestos!$B$11</f>
        <v>193.2612</v>
      </c>
      <c r="J9" s="9" t="n">
        <f aca="false">E9-F9-G9-H9-I9</f>
        <v>-244.618829396477</v>
      </c>
      <c r="K9" s="9" t="n">
        <f aca="false">K8+J9</f>
        <v>-4451.59300181552</v>
      </c>
      <c r="L9" s="10" t="n">
        <f aca="false">IF(E9=0,0,(E9-F9-G9)/E9)</f>
        <v>0.451783216783217</v>
      </c>
    </row>
    <row r="10" customFormat="false" ht="15" hidden="false" customHeight="false" outlineLevel="0" collapsed="false">
      <c r="A10" s="0" t="n">
        <v>7</v>
      </c>
      <c r="B10" s="8" t="n">
        <f aca="false">Supuestos!$B$5*(1+Supuestos!$B$6)^(7-1)</f>
        <v>1.771561</v>
      </c>
      <c r="C10" s="8" t="n">
        <f aca="false">D9*Supuestos!$B$7</f>
        <v>0.517869332736</v>
      </c>
      <c r="D10" s="8" t="n">
        <f aca="false">D9+B10-C10</f>
        <v>7.727058326464</v>
      </c>
      <c r="E10" s="9" t="n">
        <f aca="false">D10*((1-Supuestos!$B$8)*Supuestos!$B$9+Supuestos!$B$8*Supuestos!$B$10)</f>
        <v>220.99386813687</v>
      </c>
      <c r="F10" s="9" t="n">
        <f aca="false">E10*Supuestos!$B$14+D10*Supuestos!$B$15</f>
        <v>5.24667260366906</v>
      </c>
      <c r="G10" s="9" t="n">
        <f aca="false">D10*Supuestos!$B$12/60*Supuestos!$B$13</f>
        <v>115.90587489696</v>
      </c>
      <c r="H10" s="9" t="n">
        <f aca="false">Supuestos!$B$16+Supuestos!$B$17+Supuestos!$B$18+Supuestos!$B$19+Supuestos!$B$20+Supuestos!$B$21</f>
        <v>135</v>
      </c>
      <c r="I10" s="9" t="n">
        <f aca="false">B10*Supuestos!$B$11</f>
        <v>212.58732</v>
      </c>
      <c r="J10" s="9" t="n">
        <f aca="false">E10-F10-G10-H10-I10</f>
        <v>-247.745999363759</v>
      </c>
      <c r="K10" s="9" t="n">
        <f aca="false">K9+J10</f>
        <v>-4699.33900117928</v>
      </c>
      <c r="L10" s="10" t="n">
        <f aca="false">IF(E10=0,0,(E10-F10-G10)/E10)</f>
        <v>0.451783216783217</v>
      </c>
    </row>
    <row r="11" customFormat="false" ht="15" hidden="false" customHeight="false" outlineLevel="0" collapsed="false">
      <c r="A11" s="0" t="n">
        <v>8</v>
      </c>
      <c r="B11" s="8" t="n">
        <f aca="false">Supuestos!$B$5*(1+Supuestos!$B$6)^(8-1)</f>
        <v>1.9487171</v>
      </c>
      <c r="C11" s="8" t="n">
        <f aca="false">D10*Supuestos!$B$7</f>
        <v>0.61816466611712</v>
      </c>
      <c r="D11" s="8" t="n">
        <f aca="false">D10+B11-C11</f>
        <v>9.05761076034688</v>
      </c>
      <c r="E11" s="9" t="n">
        <f aca="false">D11*((1-Supuestos!$B$8)*Supuestos!$B$9+Supuestos!$B$8*Supuestos!$B$10)</f>
        <v>259.047667745921</v>
      </c>
      <c r="F11" s="9" t="n">
        <f aca="false">E11*Supuestos!$B$14+D11*Supuestos!$B$15</f>
        <v>6.15011770627553</v>
      </c>
      <c r="G11" s="9" t="n">
        <f aca="false">D11*Supuestos!$B$12/60*Supuestos!$B$13</f>
        <v>135.864161405203</v>
      </c>
      <c r="H11" s="9" t="n">
        <f aca="false">Supuestos!$B$16+Supuestos!$B$17+Supuestos!$B$18+Supuestos!$B$19+Supuestos!$B$20+Supuestos!$B$21</f>
        <v>135</v>
      </c>
      <c r="I11" s="9" t="n">
        <f aca="false">B11*Supuestos!$B$11</f>
        <v>233.846052</v>
      </c>
      <c r="J11" s="9" t="n">
        <f aca="false">E11-F11-G11-H11-I11</f>
        <v>-251.812663365558</v>
      </c>
      <c r="K11" s="9" t="n">
        <f aca="false">K10+J11</f>
        <v>-4951.15166454483</v>
      </c>
      <c r="L11" s="10" t="n">
        <f aca="false">IF(E11=0,0,(E11-F11-G11)/E11)</f>
        <v>0.451783216783217</v>
      </c>
    </row>
    <row r="12" customFormat="false" ht="15" hidden="false" customHeight="false" outlineLevel="0" collapsed="false">
      <c r="A12" s="0" t="n">
        <v>9</v>
      </c>
      <c r="B12" s="8" t="n">
        <f aca="false">Supuestos!$B$5*(1+Supuestos!$B$6)^(9-1)</f>
        <v>2.14358881</v>
      </c>
      <c r="C12" s="8" t="n">
        <f aca="false">D11*Supuestos!$B$7</f>
        <v>0.724608860827751</v>
      </c>
      <c r="D12" s="8" t="n">
        <f aca="false">D11+B12-C12</f>
        <v>10.4765907095191</v>
      </c>
      <c r="E12" s="9" t="n">
        <f aca="false">D12*((1-Supuestos!$B$8)*Supuestos!$B$9+Supuestos!$B$8*Supuestos!$B$10)</f>
        <v>299.630494292247</v>
      </c>
      <c r="F12" s="9" t="n">
        <f aca="false">E12*Supuestos!$B$14+D12*Supuestos!$B$15</f>
        <v>7.11360509176349</v>
      </c>
      <c r="G12" s="9" t="n">
        <f aca="false">D12*Supuestos!$B$12/60*Supuestos!$B$13</f>
        <v>157.148860642787</v>
      </c>
      <c r="H12" s="9" t="n">
        <f aca="false">Supuestos!$B$16+Supuestos!$B$17+Supuestos!$B$18+Supuestos!$B$19+Supuestos!$B$20+Supuestos!$B$21</f>
        <v>135</v>
      </c>
      <c r="I12" s="9" t="n">
        <f aca="false">B12*Supuestos!$B$11</f>
        <v>257.2306572</v>
      </c>
      <c r="J12" s="9" t="n">
        <f aca="false">E12-F12-G12-H12-I12</f>
        <v>-256.862628642303</v>
      </c>
      <c r="K12" s="9" t="n">
        <f aca="false">K11+J12</f>
        <v>-5208.01429318714</v>
      </c>
      <c r="L12" s="10" t="n">
        <f aca="false">IF(E12=0,0,(E12-F12-G12)/E12)</f>
        <v>0.451783216783217</v>
      </c>
    </row>
    <row r="13" customFormat="false" ht="15" hidden="false" customHeight="false" outlineLevel="0" collapsed="false">
      <c r="A13" s="0" t="n">
        <v>10</v>
      </c>
      <c r="B13" s="8" t="n">
        <f aca="false">Supuestos!$B$5*(1+Supuestos!$B$6)^(10-1)</f>
        <v>2.357947691</v>
      </c>
      <c r="C13" s="8" t="n">
        <f aca="false">D12*Supuestos!$B$7</f>
        <v>0.838127256761531</v>
      </c>
      <c r="D13" s="8" t="n">
        <f aca="false">D12+B13-C13</f>
        <v>11.9964111437576</v>
      </c>
      <c r="E13" s="9" t="n">
        <f aca="false">D13*((1-Supuestos!$B$8)*Supuestos!$B$9+Supuestos!$B$8*Supuestos!$B$10)</f>
        <v>343.097358711467</v>
      </c>
      <c r="F13" s="9" t="n">
        <f aca="false">E13*Supuestos!$B$14+D13*Supuestos!$B$15</f>
        <v>8.14556316661141</v>
      </c>
      <c r="G13" s="9" t="n">
        <f aca="false">D13*Supuestos!$B$12/60*Supuestos!$B$13</f>
        <v>179.946167156364</v>
      </c>
      <c r="H13" s="9" t="n">
        <f aca="false">Supuestos!$B$16+Supuestos!$B$17+Supuestos!$B$18+Supuestos!$B$19+Supuestos!$B$20+Supuestos!$B$21</f>
        <v>135</v>
      </c>
      <c r="I13" s="9" t="n">
        <f aca="false">B13*Supuestos!$B$11</f>
        <v>282.95372292</v>
      </c>
      <c r="J13" s="9" t="n">
        <f aca="false">E13-F13-G13-H13-I13</f>
        <v>-262.948094531508</v>
      </c>
      <c r="K13" s="9" t="n">
        <f aca="false">K12+J13</f>
        <v>-5470.96238771865</v>
      </c>
      <c r="L13" s="10" t="n">
        <f aca="false">IF(E13=0,0,(E13-F13-G13)/E13)</f>
        <v>0.451783216783217</v>
      </c>
    </row>
    <row r="14" customFormat="false" ht="15" hidden="false" customHeight="false" outlineLevel="0" collapsed="false">
      <c r="A14" s="0" t="n">
        <v>11</v>
      </c>
      <c r="B14" s="8" t="n">
        <f aca="false">Supuestos!$B$5*(1+Supuestos!$B$6)^(11-1)</f>
        <v>2.5937424601</v>
      </c>
      <c r="C14" s="8" t="n">
        <f aca="false">D13*Supuestos!$B$7</f>
        <v>0.959712891500608</v>
      </c>
      <c r="D14" s="8" t="n">
        <f aca="false">D13+B14-C14</f>
        <v>13.630440712357</v>
      </c>
      <c r="E14" s="9" t="n">
        <f aca="false">D14*((1-Supuestos!$B$8)*Supuestos!$B$9+Supuestos!$B$8*Supuestos!$B$10)</f>
        <v>389.83060437341</v>
      </c>
      <c r="F14" s="9" t="n">
        <f aca="false">E14*Supuestos!$B$14+D14*Supuestos!$B$15</f>
        <v>9.2550692436904</v>
      </c>
      <c r="G14" s="9" t="n">
        <f aca="false">D14*Supuestos!$B$12/60*Supuestos!$B$13</f>
        <v>204.456610685355</v>
      </c>
      <c r="H14" s="9" t="n">
        <f aca="false">Supuestos!$B$16+Supuestos!$B$17+Supuestos!$B$18+Supuestos!$B$19+Supuestos!$B$20+Supuestos!$B$21</f>
        <v>135</v>
      </c>
      <c r="I14" s="9" t="n">
        <f aca="false">B14*Supuestos!$B$11</f>
        <v>311.249095212</v>
      </c>
      <c r="J14" s="9" t="n">
        <f aca="false">E14-F14-G14-H14-I14</f>
        <v>-270.130170767636</v>
      </c>
      <c r="K14" s="9" t="n">
        <f aca="false">K13+J14</f>
        <v>-5741.09255848628</v>
      </c>
      <c r="L14" s="10" t="n">
        <f aca="false">IF(E14=0,0,(E14-F14-G14)/E14)</f>
        <v>0.451783216783217</v>
      </c>
    </row>
    <row r="15" customFormat="false" ht="15" hidden="false" customHeight="false" outlineLevel="0" collapsed="false">
      <c r="A15" s="0" t="n">
        <v>12</v>
      </c>
      <c r="B15" s="8" t="n">
        <f aca="false">Supuestos!$B$5*(1+Supuestos!$B$6)^(12-1)</f>
        <v>2.85311670611</v>
      </c>
      <c r="C15" s="8" t="n">
        <f aca="false">D14*Supuestos!$B$7</f>
        <v>1.09043525698856</v>
      </c>
      <c r="D15" s="8" t="n">
        <f aca="false">D14+B15-C15</f>
        <v>15.3931221614784</v>
      </c>
      <c r="E15" s="9" t="n">
        <f aca="false">D15*((1-Supuestos!$B$8)*Supuestos!$B$9+Supuestos!$B$8*Supuestos!$B$10)</f>
        <v>440.243293818283</v>
      </c>
      <c r="F15" s="9" t="n">
        <f aca="false">E15*Supuestos!$B$14+D15*Supuestos!$B$15</f>
        <v>10.4519299476439</v>
      </c>
      <c r="G15" s="9" t="n">
        <f aca="false">D15*Supuestos!$B$12/60*Supuestos!$B$13</f>
        <v>230.896832422177</v>
      </c>
      <c r="H15" s="9" t="n">
        <f aca="false">Supuestos!$B$16+Supuestos!$B$17+Supuestos!$B$18+Supuestos!$B$19+Supuestos!$B$20+Supuestos!$B$21</f>
        <v>135</v>
      </c>
      <c r="I15" s="9" t="n">
        <f aca="false">B15*Supuestos!$B$11</f>
        <v>342.3740047332</v>
      </c>
      <c r="J15" s="9" t="n">
        <f aca="false">E15-F15-G15-H15-I15</f>
        <v>-278.479473284737</v>
      </c>
      <c r="K15" s="9" t="n">
        <f aca="false">K14+J15</f>
        <v>-6019.57203177102</v>
      </c>
      <c r="L15" s="10" t="n">
        <f aca="false">IF(E15=0,0,(E15-F15-G15)/E15)</f>
        <v>0.451783216783217</v>
      </c>
    </row>
    <row r="17" customFormat="false" ht="15" hidden="false" customHeight="false" outlineLevel="0" collapsed="false">
      <c r="A17" s="2" t="s">
        <v>64</v>
      </c>
    </row>
    <row r="18" customFormat="false" ht="15" hidden="false" customHeight="false" outlineLevel="0" collapsed="false">
      <c r="A18" s="0" t="s">
        <v>65</v>
      </c>
      <c r="B18" s="9" t="n">
        <f aca="false">E15</f>
        <v>440.243293818283</v>
      </c>
    </row>
    <row r="19" customFormat="false" ht="15" hidden="false" customHeight="false" outlineLevel="0" collapsed="false">
      <c r="A19" s="0" t="s">
        <v>66</v>
      </c>
      <c r="B19" s="9" t="n">
        <f aca="false">B18*12</f>
        <v>5282.9195258194</v>
      </c>
    </row>
    <row r="20" customFormat="false" ht="15" hidden="false" customHeight="false" outlineLevel="0" collapsed="false">
      <c r="A20" s="0" t="s">
        <v>67</v>
      </c>
      <c r="B20" s="8" t="n">
        <f aca="false">D15</f>
        <v>15.3931221614784</v>
      </c>
    </row>
    <row r="21" customFormat="false" ht="15" hidden="false" customHeight="false" outlineLevel="0" collapsed="false">
      <c r="A21" s="0" t="s">
        <v>68</v>
      </c>
      <c r="B21" s="9" t="n">
        <f aca="false">K15</f>
        <v>-6019.57203177102</v>
      </c>
    </row>
    <row r="22" customFormat="false" ht="15" hidden="false" customHeight="false" outlineLevel="0" collapsed="false">
      <c r="A22" s="0" t="s">
        <v>69</v>
      </c>
      <c r="B22" s="0" t="str">
        <f aca="false">IFERROR(INDEX(A4:A15,MATCH(TRUE(),INDEX(J4:J15&gt;0,0),0)),"no en 12 meses")</f>
        <v>no en 12 meses</v>
      </c>
    </row>
    <row r="23" customFormat="false" ht="15" hidden="false" customHeight="false" outlineLevel="0" collapsed="false">
      <c r="A23" s="0" t="s">
        <v>70</v>
      </c>
      <c r="B23" s="11" t="n">
        <f aca="false">((1-Supuestos!$B$8)*Supuestos!$B$9+Supuestos!$B$8*Supuestos!$B$10)</f>
        <v>28.6</v>
      </c>
    </row>
    <row r="24" customFormat="false" ht="15" hidden="false" customHeight="false" outlineLevel="0" collapsed="false">
      <c r="A24" s="0" t="s">
        <v>71</v>
      </c>
      <c r="B24" s="8" t="n">
        <f aca="false">IFERROR(Supuestos!$B$11/(((1-Supuestos!$B$8)*Supuestos!$B$9+Supuestos!$B$8*Supuestos!$B$10)*(1-Supuestos!$B$14)-Supuestos!$B$15-Supuestos!$B$12/60*Supuestos!$B$13),"n/d")</f>
        <v>9.28720687253309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2" min="2" style="0" width="17"/>
  </cols>
  <sheetData>
    <row r="1" customFormat="false" ht="16.15" hidden="false" customHeight="false" outlineLevel="0" collapsed="false">
      <c r="A1" s="7" t="s">
        <v>72</v>
      </c>
    </row>
    <row r="3" customFormat="false" ht="15" hidden="false" customHeight="false" outlineLevel="0" collapsed="false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  <c r="I3" s="2" t="s">
        <v>60</v>
      </c>
      <c r="J3" s="2" t="s">
        <v>61</v>
      </c>
      <c r="K3" s="2" t="s">
        <v>62</v>
      </c>
      <c r="L3" s="2" t="s">
        <v>63</v>
      </c>
    </row>
    <row r="4" customFormat="false" ht="15" hidden="false" customHeight="false" outlineLevel="0" collapsed="false">
      <c r="A4" s="0" t="n">
        <v>1</v>
      </c>
      <c r="B4" s="8" t="n">
        <f aca="false">Supuestos!$C$5*(1+Supuestos!$C$6)^(1-1)</f>
        <v>2</v>
      </c>
      <c r="C4" s="8" t="n">
        <f aca="false">0</f>
        <v>0</v>
      </c>
      <c r="D4" s="8" t="n">
        <f aca="false">B4-C4</f>
        <v>2</v>
      </c>
      <c r="E4" s="9" t="n">
        <f aca="false">D4*((1-Supuestos!$C$8)*Supuestos!$C$9+Supuestos!$C$8*Supuestos!$C$10)</f>
        <v>62</v>
      </c>
      <c r="F4" s="9" t="n">
        <f aca="false">E4*Supuestos!$C$14+D4*Supuestos!$C$15</f>
        <v>1.43</v>
      </c>
      <c r="G4" s="9" t="n">
        <f aca="false">D4*Supuestos!$C$12/60*Supuestos!$C$13</f>
        <v>20</v>
      </c>
      <c r="H4" s="9" t="n">
        <f aca="false">Supuestos!$C$16+Supuestos!$C$17+Supuestos!$C$18+Supuestos!$C$19+Supuestos!$C$20+Supuestos!$C$21</f>
        <v>135</v>
      </c>
      <c r="I4" s="9" t="n">
        <f aca="false">B4*Supuestos!$C$11</f>
        <v>180</v>
      </c>
      <c r="J4" s="9" t="n">
        <f aca="false">E4-F4-G4-H4-I4-Supuestos!$C$22</f>
        <v>-3274.43</v>
      </c>
      <c r="K4" s="9" t="n">
        <f aca="false">J4</f>
        <v>-3274.43</v>
      </c>
      <c r="L4" s="10" t="n">
        <f aca="false">IF(E4=0,0,(E4-F4-G4)/E4)</f>
        <v>0.654354838709678</v>
      </c>
    </row>
    <row r="5" customFormat="false" ht="15" hidden="false" customHeight="false" outlineLevel="0" collapsed="false">
      <c r="A5" s="0" t="n">
        <v>2</v>
      </c>
      <c r="B5" s="8" t="n">
        <f aca="false">Supuestos!$C$5*(1+Supuestos!$C$6)^(2-1)</f>
        <v>2.3</v>
      </c>
      <c r="C5" s="8" t="n">
        <f aca="false">D4*Supuestos!$C$7</f>
        <v>0.1</v>
      </c>
      <c r="D5" s="8" t="n">
        <f aca="false">D4+B5-C5</f>
        <v>4.2</v>
      </c>
      <c r="E5" s="9" t="n">
        <f aca="false">D5*((1-Supuestos!$C$8)*Supuestos!$C$9+Supuestos!$C$8*Supuestos!$C$10)</f>
        <v>130.2</v>
      </c>
      <c r="F5" s="9" t="n">
        <f aca="false">E5*Supuestos!$C$14+D5*Supuestos!$C$15</f>
        <v>3.003</v>
      </c>
      <c r="G5" s="9" t="n">
        <f aca="false">D5*Supuestos!$C$12/60*Supuestos!$C$13</f>
        <v>42</v>
      </c>
      <c r="H5" s="9" t="n">
        <f aca="false">Supuestos!$C$16+Supuestos!$C$17+Supuestos!$C$18+Supuestos!$C$19+Supuestos!$C$20+Supuestos!$C$21</f>
        <v>135</v>
      </c>
      <c r="I5" s="9" t="n">
        <f aca="false">B5*Supuestos!$C$11</f>
        <v>207</v>
      </c>
      <c r="J5" s="9" t="n">
        <f aca="false">E5-F5-G5-H5-I5</f>
        <v>-256.803</v>
      </c>
      <c r="K5" s="9" t="n">
        <f aca="false">K4+J5</f>
        <v>-3531.233</v>
      </c>
      <c r="L5" s="10" t="n">
        <f aca="false">IF(E5=0,0,(E5-F5-G5)/E5)</f>
        <v>0.654354838709678</v>
      </c>
    </row>
    <row r="6" customFormat="false" ht="15" hidden="false" customHeight="false" outlineLevel="0" collapsed="false">
      <c r="A6" s="0" t="n">
        <v>3</v>
      </c>
      <c r="B6" s="8" t="n">
        <f aca="false">Supuestos!$C$5*(1+Supuestos!$C$6)^(3-1)</f>
        <v>2.645</v>
      </c>
      <c r="C6" s="8" t="n">
        <f aca="false">D5*Supuestos!$C$7</f>
        <v>0.21</v>
      </c>
      <c r="D6" s="8" t="n">
        <f aca="false">D5+B6-C6</f>
        <v>6.635</v>
      </c>
      <c r="E6" s="9" t="n">
        <f aca="false">D6*((1-Supuestos!$C$8)*Supuestos!$C$9+Supuestos!$C$8*Supuestos!$C$10)</f>
        <v>205.685</v>
      </c>
      <c r="F6" s="9" t="n">
        <f aca="false">E6*Supuestos!$C$14+D6*Supuestos!$C$15</f>
        <v>4.744025</v>
      </c>
      <c r="G6" s="9" t="n">
        <f aca="false">D6*Supuestos!$C$12/60*Supuestos!$C$13</f>
        <v>66.35</v>
      </c>
      <c r="H6" s="9" t="n">
        <f aca="false">Supuestos!$C$16+Supuestos!$C$17+Supuestos!$C$18+Supuestos!$C$19+Supuestos!$C$20+Supuestos!$C$21</f>
        <v>135</v>
      </c>
      <c r="I6" s="9" t="n">
        <f aca="false">B6*Supuestos!$C$11</f>
        <v>238.05</v>
      </c>
      <c r="J6" s="9" t="n">
        <f aca="false">E6-F6-G6-H6-I6</f>
        <v>-238.459025</v>
      </c>
      <c r="K6" s="9" t="n">
        <f aca="false">K5+J6</f>
        <v>-3769.692025</v>
      </c>
      <c r="L6" s="10" t="n">
        <f aca="false">IF(E6=0,0,(E6-F6-G6)/E6)</f>
        <v>0.654354838709678</v>
      </c>
    </row>
    <row r="7" customFormat="false" ht="15" hidden="false" customHeight="false" outlineLevel="0" collapsed="false">
      <c r="A7" s="0" t="n">
        <v>4</v>
      </c>
      <c r="B7" s="8" t="n">
        <f aca="false">Supuestos!$C$5*(1+Supuestos!$C$6)^(4-1)</f>
        <v>3.04175</v>
      </c>
      <c r="C7" s="8" t="n">
        <f aca="false">D6*Supuestos!$C$7</f>
        <v>0.33175</v>
      </c>
      <c r="D7" s="8" t="n">
        <f aca="false">D6+B7-C7</f>
        <v>9.345</v>
      </c>
      <c r="E7" s="9" t="n">
        <f aca="false">D7*((1-Supuestos!$C$8)*Supuestos!$C$9+Supuestos!$C$8*Supuestos!$C$10)</f>
        <v>289.695</v>
      </c>
      <c r="F7" s="9" t="n">
        <f aca="false">E7*Supuestos!$C$14+D7*Supuestos!$C$15</f>
        <v>6.681675</v>
      </c>
      <c r="G7" s="9" t="n">
        <f aca="false">D7*Supuestos!$C$12/60*Supuestos!$C$13</f>
        <v>93.45</v>
      </c>
      <c r="H7" s="9" t="n">
        <f aca="false">Supuestos!$C$16+Supuestos!$C$17+Supuestos!$C$18+Supuestos!$C$19+Supuestos!$C$20+Supuestos!$C$21</f>
        <v>135</v>
      </c>
      <c r="I7" s="9" t="n">
        <f aca="false">B7*Supuestos!$C$11</f>
        <v>273.7575</v>
      </c>
      <c r="J7" s="9" t="n">
        <f aca="false">E7-F7-G7-H7-I7</f>
        <v>-219.194175</v>
      </c>
      <c r="K7" s="9" t="n">
        <f aca="false">K6+J7</f>
        <v>-3988.8862</v>
      </c>
      <c r="L7" s="10" t="n">
        <f aca="false">IF(E7=0,0,(E7-F7-G7)/E7)</f>
        <v>0.654354838709678</v>
      </c>
    </row>
    <row r="8" customFormat="false" ht="15" hidden="false" customHeight="false" outlineLevel="0" collapsed="false">
      <c r="A8" s="0" t="n">
        <v>5</v>
      </c>
      <c r="B8" s="8" t="n">
        <f aca="false">Supuestos!$C$5*(1+Supuestos!$C$6)^(5-1)</f>
        <v>3.4980125</v>
      </c>
      <c r="C8" s="8" t="n">
        <f aca="false">D7*Supuestos!$C$7</f>
        <v>0.46725</v>
      </c>
      <c r="D8" s="8" t="n">
        <f aca="false">D7+B8-C8</f>
        <v>12.3757625</v>
      </c>
      <c r="E8" s="9" t="n">
        <f aca="false">D8*((1-Supuestos!$C$8)*Supuestos!$C$9+Supuestos!$C$8*Supuestos!$C$10)</f>
        <v>383.6486375</v>
      </c>
      <c r="F8" s="9" t="n">
        <f aca="false">E8*Supuestos!$C$14+D8*Supuestos!$C$15</f>
        <v>8.8486701875</v>
      </c>
      <c r="G8" s="9" t="n">
        <f aca="false">D8*Supuestos!$C$12/60*Supuestos!$C$13</f>
        <v>123.757625</v>
      </c>
      <c r="H8" s="9" t="n">
        <f aca="false">Supuestos!$C$16+Supuestos!$C$17+Supuestos!$C$18+Supuestos!$C$19+Supuestos!$C$20+Supuestos!$C$21</f>
        <v>135</v>
      </c>
      <c r="I8" s="9" t="n">
        <f aca="false">B8*Supuestos!$C$11</f>
        <v>314.821125</v>
      </c>
      <c r="J8" s="9" t="n">
        <f aca="false">E8-F8-G8-H8-I8</f>
        <v>-198.7787826875</v>
      </c>
      <c r="K8" s="9" t="n">
        <f aca="false">K7+J8</f>
        <v>-4187.6649826875</v>
      </c>
      <c r="L8" s="10" t="n">
        <f aca="false">IF(E8=0,0,(E8-F8-G8)/E8)</f>
        <v>0.654354838709678</v>
      </c>
    </row>
    <row r="9" customFormat="false" ht="15" hidden="false" customHeight="false" outlineLevel="0" collapsed="false">
      <c r="A9" s="0" t="n">
        <v>6</v>
      </c>
      <c r="B9" s="8" t="n">
        <f aca="false">Supuestos!$C$5*(1+Supuestos!$C$6)^(6-1)</f>
        <v>4.022714375</v>
      </c>
      <c r="C9" s="8" t="n">
        <f aca="false">D8*Supuestos!$C$7</f>
        <v>0.618788125</v>
      </c>
      <c r="D9" s="8" t="n">
        <f aca="false">D8+B9-C9</f>
        <v>15.77968875</v>
      </c>
      <c r="E9" s="9" t="n">
        <f aca="false">D9*((1-Supuestos!$C$8)*Supuestos!$C$9+Supuestos!$C$8*Supuestos!$C$10)</f>
        <v>489.17035125</v>
      </c>
      <c r="F9" s="9" t="n">
        <f aca="false">E9*Supuestos!$C$14+D9*Supuestos!$C$15</f>
        <v>11.28247745625</v>
      </c>
      <c r="G9" s="9" t="n">
        <f aca="false">D9*Supuestos!$C$12/60*Supuestos!$C$13</f>
        <v>157.7968875</v>
      </c>
      <c r="H9" s="9" t="n">
        <f aca="false">Supuestos!$C$16+Supuestos!$C$17+Supuestos!$C$18+Supuestos!$C$19+Supuestos!$C$20+Supuestos!$C$21</f>
        <v>135</v>
      </c>
      <c r="I9" s="9" t="n">
        <f aca="false">B9*Supuestos!$C$11</f>
        <v>362.04429375</v>
      </c>
      <c r="J9" s="9" t="n">
        <f aca="false">E9-F9-G9-H9-I9</f>
        <v>-176.95330745625</v>
      </c>
      <c r="K9" s="9" t="n">
        <f aca="false">K8+J9</f>
        <v>-4364.61829014375</v>
      </c>
      <c r="L9" s="10" t="n">
        <f aca="false">IF(E9=0,0,(E9-F9-G9)/E9)</f>
        <v>0.654354838709678</v>
      </c>
    </row>
    <row r="10" customFormat="false" ht="15" hidden="false" customHeight="false" outlineLevel="0" collapsed="false">
      <c r="A10" s="0" t="n">
        <v>7</v>
      </c>
      <c r="B10" s="8" t="n">
        <f aca="false">Supuestos!$C$5*(1+Supuestos!$C$6)^(7-1)</f>
        <v>4.62612153125</v>
      </c>
      <c r="C10" s="8" t="n">
        <f aca="false">D9*Supuestos!$C$7</f>
        <v>0.7889844375</v>
      </c>
      <c r="D10" s="8" t="n">
        <f aca="false">D9+B10-C10</f>
        <v>19.61682584375</v>
      </c>
      <c r="E10" s="9" t="n">
        <f aca="false">D10*((1-Supuestos!$C$8)*Supuestos!$C$9+Supuestos!$C$8*Supuestos!$C$10)</f>
        <v>608.12160115625</v>
      </c>
      <c r="F10" s="9" t="n">
        <f aca="false">E10*Supuestos!$C$14+D10*Supuestos!$C$15</f>
        <v>14.0260304782812</v>
      </c>
      <c r="G10" s="9" t="n">
        <f aca="false">D10*Supuestos!$C$12/60*Supuestos!$C$13</f>
        <v>196.1682584375</v>
      </c>
      <c r="H10" s="9" t="n">
        <f aca="false">Supuestos!$C$16+Supuestos!$C$17+Supuestos!$C$18+Supuestos!$C$19+Supuestos!$C$20+Supuestos!$C$21</f>
        <v>135</v>
      </c>
      <c r="I10" s="9" t="n">
        <f aca="false">B10*Supuestos!$C$11</f>
        <v>416.3509378125</v>
      </c>
      <c r="J10" s="9" t="n">
        <f aca="false">E10-F10-G10-H10-I10</f>
        <v>-153.423625572031</v>
      </c>
      <c r="K10" s="9" t="n">
        <f aca="false">K9+J10</f>
        <v>-4518.04191571578</v>
      </c>
      <c r="L10" s="10" t="n">
        <f aca="false">IF(E10=0,0,(E10-F10-G10)/E10)</f>
        <v>0.654354838709678</v>
      </c>
    </row>
    <row r="11" customFormat="false" ht="15" hidden="false" customHeight="false" outlineLevel="0" collapsed="false">
      <c r="A11" s="0" t="n">
        <v>8</v>
      </c>
      <c r="B11" s="8" t="n">
        <f aca="false">Supuestos!$C$5*(1+Supuestos!$C$6)^(8-1)</f>
        <v>5.3200397609375</v>
      </c>
      <c r="C11" s="8" t="n">
        <f aca="false">D10*Supuestos!$C$7</f>
        <v>0.9808412921875</v>
      </c>
      <c r="D11" s="8" t="n">
        <f aca="false">D10+B11-C11</f>
        <v>23.9560243125</v>
      </c>
      <c r="E11" s="9" t="n">
        <f aca="false">D11*((1-Supuestos!$C$8)*Supuestos!$C$9+Supuestos!$C$8*Supuestos!$C$10)</f>
        <v>742.6367536875</v>
      </c>
      <c r="F11" s="9" t="n">
        <f aca="false">E11*Supuestos!$C$14+D11*Supuestos!$C$15</f>
        <v>17.1285573834375</v>
      </c>
      <c r="G11" s="9" t="n">
        <f aca="false">D11*Supuestos!$C$12/60*Supuestos!$C$13</f>
        <v>239.560243125</v>
      </c>
      <c r="H11" s="9" t="n">
        <f aca="false">Supuestos!$C$16+Supuestos!$C$17+Supuestos!$C$18+Supuestos!$C$19+Supuestos!$C$20+Supuestos!$C$21</f>
        <v>135</v>
      </c>
      <c r="I11" s="9" t="n">
        <f aca="false">B11*Supuestos!$C$11</f>
        <v>478.803578484375</v>
      </c>
      <c r="J11" s="9" t="n">
        <f aca="false">E11-F11-G11-H11-I11</f>
        <v>-127.855625305312</v>
      </c>
      <c r="K11" s="9" t="n">
        <f aca="false">K10+J11</f>
        <v>-4645.89754102109</v>
      </c>
      <c r="L11" s="10" t="n">
        <f aca="false">IF(E11=0,0,(E11-F11-G11)/E11)</f>
        <v>0.654354838709677</v>
      </c>
    </row>
    <row r="12" customFormat="false" ht="15" hidden="false" customHeight="false" outlineLevel="0" collapsed="false">
      <c r="A12" s="0" t="n">
        <v>9</v>
      </c>
      <c r="B12" s="8" t="n">
        <f aca="false">Supuestos!$C$5*(1+Supuestos!$C$6)^(9-1)</f>
        <v>6.11804572507812</v>
      </c>
      <c r="C12" s="8" t="n">
        <f aca="false">D11*Supuestos!$C$7</f>
        <v>1.197801215625</v>
      </c>
      <c r="D12" s="8" t="n">
        <f aca="false">D11+B12-C12</f>
        <v>28.8762688219531</v>
      </c>
      <c r="E12" s="9" t="n">
        <f aca="false">D12*((1-Supuestos!$C$8)*Supuestos!$C$9+Supuestos!$C$8*Supuestos!$C$10)</f>
        <v>895.164333480547</v>
      </c>
      <c r="F12" s="9" t="n">
        <f aca="false">E12*Supuestos!$C$14+D12*Supuestos!$C$15</f>
        <v>20.6465322076965</v>
      </c>
      <c r="G12" s="9" t="n">
        <f aca="false">D12*Supuestos!$C$12/60*Supuestos!$C$13</f>
        <v>288.762688219531</v>
      </c>
      <c r="H12" s="9" t="n">
        <f aca="false">Supuestos!$C$16+Supuestos!$C$17+Supuestos!$C$18+Supuestos!$C$19+Supuestos!$C$20+Supuestos!$C$21</f>
        <v>135</v>
      </c>
      <c r="I12" s="9" t="n">
        <f aca="false">B12*Supuestos!$C$11</f>
        <v>550.624115257031</v>
      </c>
      <c r="J12" s="9" t="n">
        <f aca="false">E12-F12-G12-H12-I12</f>
        <v>-99.8690022037119</v>
      </c>
      <c r="K12" s="9" t="n">
        <f aca="false">K11+J12</f>
        <v>-4745.76654322481</v>
      </c>
      <c r="L12" s="10" t="n">
        <f aca="false">IF(E12=0,0,(E12-F12-G12)/E12)</f>
        <v>0.654354838709677</v>
      </c>
    </row>
    <row r="13" customFormat="false" ht="15" hidden="false" customHeight="false" outlineLevel="0" collapsed="false">
      <c r="A13" s="0" t="n">
        <v>10</v>
      </c>
      <c r="B13" s="8" t="n">
        <f aca="false">Supuestos!$C$5*(1+Supuestos!$C$6)^(10-1)</f>
        <v>7.03575258383984</v>
      </c>
      <c r="C13" s="8" t="n">
        <f aca="false">D12*Supuestos!$C$7</f>
        <v>1.44381344109766</v>
      </c>
      <c r="D13" s="8" t="n">
        <f aca="false">D12+B13-C13</f>
        <v>34.4682079646953</v>
      </c>
      <c r="E13" s="9" t="n">
        <f aca="false">D13*((1-Supuestos!$C$8)*Supuestos!$C$9+Supuestos!$C$8*Supuestos!$C$10)</f>
        <v>1068.51444690555</v>
      </c>
      <c r="F13" s="9" t="n">
        <f aca="false">E13*Supuestos!$C$14+D13*Supuestos!$C$15</f>
        <v>24.6447686947571</v>
      </c>
      <c r="G13" s="9" t="n">
        <f aca="false">D13*Supuestos!$C$12/60*Supuestos!$C$13</f>
        <v>344.682079646953</v>
      </c>
      <c r="H13" s="9" t="n">
        <f aca="false">Supuestos!$C$16+Supuestos!$C$17+Supuestos!$C$18+Supuestos!$C$19+Supuestos!$C$20+Supuestos!$C$21</f>
        <v>135</v>
      </c>
      <c r="I13" s="9" t="n">
        <f aca="false">B13*Supuestos!$C$11</f>
        <v>633.217732545586</v>
      </c>
      <c r="J13" s="9" t="n">
        <f aca="false">E13-F13-G13-H13-I13</f>
        <v>-69.0301339817413</v>
      </c>
      <c r="K13" s="9" t="n">
        <f aca="false">K12+J13</f>
        <v>-4814.79667720655</v>
      </c>
      <c r="L13" s="10" t="n">
        <f aca="false">IF(E13=0,0,(E13-F13-G13)/E13)</f>
        <v>0.654354838709677</v>
      </c>
    </row>
    <row r="14" customFormat="false" ht="15" hidden="false" customHeight="false" outlineLevel="0" collapsed="false">
      <c r="A14" s="0" t="n">
        <v>11</v>
      </c>
      <c r="B14" s="8" t="n">
        <f aca="false">Supuestos!$C$5*(1+Supuestos!$C$6)^(11-1)</f>
        <v>8.09111547141581</v>
      </c>
      <c r="C14" s="8" t="n">
        <f aca="false">D13*Supuestos!$C$7</f>
        <v>1.72341039823477</v>
      </c>
      <c r="D14" s="8" t="n">
        <f aca="false">D13+B14-C14</f>
        <v>40.8359130378764</v>
      </c>
      <c r="E14" s="9" t="n">
        <f aca="false">D14*((1-Supuestos!$C$8)*Supuestos!$C$9+Supuestos!$C$8*Supuestos!$C$10)</f>
        <v>1265.91330417417</v>
      </c>
      <c r="F14" s="9" t="n">
        <f aca="false">E14*Supuestos!$C$14+D14*Supuestos!$C$15</f>
        <v>29.1976778220816</v>
      </c>
      <c r="G14" s="9" t="n">
        <f aca="false">D14*Supuestos!$C$12/60*Supuestos!$C$13</f>
        <v>408.359130378764</v>
      </c>
      <c r="H14" s="9" t="n">
        <f aca="false">Supuestos!$C$16+Supuestos!$C$17+Supuestos!$C$18+Supuestos!$C$19+Supuestos!$C$20+Supuestos!$C$21</f>
        <v>135</v>
      </c>
      <c r="I14" s="9" t="n">
        <f aca="false">B14*Supuestos!$C$11</f>
        <v>728.200392427423</v>
      </c>
      <c r="J14" s="9" t="n">
        <f aca="false">E14-F14-G14-H14-I14</f>
        <v>-34.8438964541015</v>
      </c>
      <c r="K14" s="9" t="n">
        <f aca="false">K13+J14</f>
        <v>-4849.64057366065</v>
      </c>
      <c r="L14" s="10" t="n">
        <f aca="false">IF(E14=0,0,(E14-F14-G14)/E14)</f>
        <v>0.654354838709677</v>
      </c>
    </row>
    <row r="15" customFormat="false" ht="15" hidden="false" customHeight="false" outlineLevel="0" collapsed="false">
      <c r="A15" s="0" t="n">
        <v>12</v>
      </c>
      <c r="B15" s="8" t="n">
        <f aca="false">Supuestos!$C$5*(1+Supuestos!$C$6)^(12-1)</f>
        <v>9.30478279212819</v>
      </c>
      <c r="C15" s="8" t="n">
        <f aca="false">D14*Supuestos!$C$7</f>
        <v>2.04179565189382</v>
      </c>
      <c r="D15" s="8" t="n">
        <f aca="false">D14+B15-C15</f>
        <v>48.0989001781107</v>
      </c>
      <c r="E15" s="9" t="n">
        <f aca="false">D15*((1-Supuestos!$C$8)*Supuestos!$C$9+Supuestos!$C$8*Supuestos!$C$10)</f>
        <v>1491.06590552143</v>
      </c>
      <c r="F15" s="9" t="n">
        <f aca="false">E15*Supuestos!$C$14+D15*Supuestos!$C$15</f>
        <v>34.3907136273492</v>
      </c>
      <c r="G15" s="9" t="n">
        <f aca="false">D15*Supuestos!$C$12/60*Supuestos!$C$13</f>
        <v>480.989001781107</v>
      </c>
      <c r="H15" s="9" t="n">
        <f aca="false">Supuestos!$C$16+Supuestos!$C$17+Supuestos!$C$18+Supuestos!$C$19+Supuestos!$C$20+Supuestos!$C$21</f>
        <v>135</v>
      </c>
      <c r="I15" s="9" t="n">
        <f aca="false">B15*Supuestos!$C$11</f>
        <v>837.430451291537</v>
      </c>
      <c r="J15" s="9" t="n">
        <f aca="false">E15-F15-G15-H15-I15</f>
        <v>3.25573882143942</v>
      </c>
      <c r="K15" s="9" t="n">
        <f aca="false">K14+J15</f>
        <v>-4846.38483483921</v>
      </c>
      <c r="L15" s="10" t="n">
        <f aca="false">IF(E15=0,0,(E15-F15-G15)/E15)</f>
        <v>0.654354838709677</v>
      </c>
    </row>
    <row r="17" customFormat="false" ht="15" hidden="false" customHeight="false" outlineLevel="0" collapsed="false">
      <c r="A17" s="2" t="s">
        <v>64</v>
      </c>
    </row>
    <row r="18" customFormat="false" ht="15" hidden="false" customHeight="false" outlineLevel="0" collapsed="false">
      <c r="A18" s="0" t="s">
        <v>65</v>
      </c>
      <c r="B18" s="9" t="n">
        <f aca="false">E15</f>
        <v>1491.06590552143</v>
      </c>
    </row>
    <row r="19" customFormat="false" ht="15" hidden="false" customHeight="false" outlineLevel="0" collapsed="false">
      <c r="A19" s="0" t="s">
        <v>66</v>
      </c>
      <c r="B19" s="9" t="n">
        <f aca="false">B18*12</f>
        <v>17892.7908662572</v>
      </c>
    </row>
    <row r="20" customFormat="false" ht="15" hidden="false" customHeight="false" outlineLevel="0" collapsed="false">
      <c r="A20" s="0" t="s">
        <v>67</v>
      </c>
      <c r="B20" s="8" t="n">
        <f aca="false">D15</f>
        <v>48.0989001781107</v>
      </c>
    </row>
    <row r="21" customFormat="false" ht="15" hidden="false" customHeight="false" outlineLevel="0" collapsed="false">
      <c r="A21" s="0" t="s">
        <v>68</v>
      </c>
      <c r="B21" s="9" t="n">
        <f aca="false">K15</f>
        <v>-4846.38483483921</v>
      </c>
    </row>
    <row r="22" customFormat="false" ht="15" hidden="false" customHeight="false" outlineLevel="0" collapsed="false">
      <c r="A22" s="0" t="s">
        <v>69</v>
      </c>
      <c r="B22" s="0" t="n">
        <f aca="false">IFERROR(INDEX(A4:A15,MATCH(TRUE(),INDEX(J4:J15&gt;0,0),0)),"no en 12 meses")</f>
        <v>12</v>
      </c>
    </row>
    <row r="23" customFormat="false" ht="15" hidden="false" customHeight="false" outlineLevel="0" collapsed="false">
      <c r="A23" s="0" t="s">
        <v>70</v>
      </c>
      <c r="B23" s="11" t="n">
        <f aca="false">((1-Supuestos!$C$8)*Supuestos!$C$9+Supuestos!$C$8*Supuestos!$C$10)</f>
        <v>31</v>
      </c>
    </row>
    <row r="24" customFormat="false" ht="15" hidden="false" customHeight="false" outlineLevel="0" collapsed="false">
      <c r="A24" s="0" t="s">
        <v>71</v>
      </c>
      <c r="B24" s="8" t="n">
        <f aca="false">IFERROR(Supuestos!$C$11/(((1-Supuestos!$C$8)*Supuestos!$C$9+Supuestos!$C$8*Supuestos!$C$10)*(1-Supuestos!$C$14)-Supuestos!$C$15-Supuestos!$C$12/60*Supuestos!$C$13),"n/d")</f>
        <v>4.43677594281489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2" min="2" style="0" width="17"/>
  </cols>
  <sheetData>
    <row r="1" customFormat="false" ht="16.15" hidden="false" customHeight="false" outlineLevel="0" collapsed="false">
      <c r="A1" s="7" t="s">
        <v>73</v>
      </c>
    </row>
    <row r="3" customFormat="false" ht="15" hidden="false" customHeight="false" outlineLevel="0" collapsed="false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  <c r="I3" s="2" t="s">
        <v>60</v>
      </c>
      <c r="J3" s="2" t="s">
        <v>61</v>
      </c>
      <c r="K3" s="2" t="s">
        <v>62</v>
      </c>
      <c r="L3" s="2" t="s">
        <v>63</v>
      </c>
    </row>
    <row r="4" customFormat="false" ht="15" hidden="false" customHeight="false" outlineLevel="0" collapsed="false">
      <c r="A4" s="0" t="n">
        <v>1</v>
      </c>
      <c r="B4" s="8" t="n">
        <f aca="false">Supuestos!$D$5*(1+Supuestos!$D$6)^(1-1)</f>
        <v>4</v>
      </c>
      <c r="C4" s="8" t="n">
        <f aca="false">0</f>
        <v>0</v>
      </c>
      <c r="D4" s="8" t="n">
        <f aca="false">B4-C4</f>
        <v>4</v>
      </c>
      <c r="E4" s="9" t="n">
        <f aca="false">D4*((1-Supuestos!$D$8)*Supuestos!$D$9+Supuestos!$D$8*Supuestos!$D$10)</f>
        <v>133.6</v>
      </c>
      <c r="F4" s="9" t="n">
        <f aca="false">E4*Supuestos!$D$14+D4*Supuestos!$D$15</f>
        <v>3.004</v>
      </c>
      <c r="G4" s="9" t="n">
        <f aca="false">D4*Supuestos!$D$12/60*Supuestos!$D$13</f>
        <v>26.6666666666667</v>
      </c>
      <c r="H4" s="9" t="n">
        <f aca="false">Supuestos!$D$16+Supuestos!$D$17+Supuestos!$D$18+Supuestos!$D$19+Supuestos!$D$20+Supuestos!$D$21</f>
        <v>135</v>
      </c>
      <c r="I4" s="9" t="n">
        <f aca="false">B4*Supuestos!$D$11</f>
        <v>240</v>
      </c>
      <c r="J4" s="9" t="n">
        <f aca="false">E4-F4-G4-H4-I4-Supuestos!$D$22</f>
        <v>-3271.07066666667</v>
      </c>
      <c r="K4" s="9" t="n">
        <f aca="false">J4</f>
        <v>-3271.07066666667</v>
      </c>
      <c r="L4" s="10" t="n">
        <f aca="false">IF(E4=0,0,(E4-F4-G4)/E4)</f>
        <v>0.777914171656687</v>
      </c>
    </row>
    <row r="5" customFormat="false" ht="15" hidden="false" customHeight="false" outlineLevel="0" collapsed="false">
      <c r="A5" s="0" t="n">
        <v>2</v>
      </c>
      <c r="B5" s="8" t="n">
        <f aca="false">Supuestos!$D$5*(1+Supuestos!$D$6)^(2-1)</f>
        <v>4.8</v>
      </c>
      <c r="C5" s="8" t="n">
        <f aca="false">D4*Supuestos!$D$7</f>
        <v>0.12</v>
      </c>
      <c r="D5" s="8" t="n">
        <f aca="false">D4+B5-C5</f>
        <v>8.68</v>
      </c>
      <c r="E5" s="9" t="n">
        <f aca="false">D5*((1-Supuestos!$D$8)*Supuestos!$D$9+Supuestos!$D$8*Supuestos!$D$10)</f>
        <v>289.912</v>
      </c>
      <c r="F5" s="9" t="n">
        <f aca="false">E5*Supuestos!$D$14+D5*Supuestos!$D$15</f>
        <v>6.51868</v>
      </c>
      <c r="G5" s="9" t="n">
        <f aca="false">D5*Supuestos!$D$12/60*Supuestos!$D$13</f>
        <v>57.8666666666667</v>
      </c>
      <c r="H5" s="9" t="n">
        <f aca="false">Supuestos!$D$16+Supuestos!$D$17+Supuestos!$D$18+Supuestos!$D$19+Supuestos!$D$20+Supuestos!$D$21</f>
        <v>135</v>
      </c>
      <c r="I5" s="9" t="n">
        <f aca="false">B5*Supuestos!$D$11</f>
        <v>288</v>
      </c>
      <c r="J5" s="9" t="n">
        <f aca="false">E5-F5-G5-H5-I5</f>
        <v>-197.473346666667</v>
      </c>
      <c r="K5" s="9" t="n">
        <f aca="false">K4+J5</f>
        <v>-3468.54401333333</v>
      </c>
      <c r="L5" s="10" t="n">
        <f aca="false">IF(E5=0,0,(E5-F5-G5)/E5)</f>
        <v>0.777914171656687</v>
      </c>
    </row>
    <row r="6" customFormat="false" ht="15" hidden="false" customHeight="false" outlineLevel="0" collapsed="false">
      <c r="A6" s="0" t="n">
        <v>3</v>
      </c>
      <c r="B6" s="8" t="n">
        <f aca="false">Supuestos!$D$5*(1+Supuestos!$D$6)^(3-1)</f>
        <v>5.76</v>
      </c>
      <c r="C6" s="8" t="n">
        <f aca="false">D5*Supuestos!$D$7</f>
        <v>0.2604</v>
      </c>
      <c r="D6" s="8" t="n">
        <f aca="false">D5+B6-C6</f>
        <v>14.1796</v>
      </c>
      <c r="E6" s="9" t="n">
        <f aca="false">D6*((1-Supuestos!$D$8)*Supuestos!$D$9+Supuestos!$D$8*Supuestos!$D$10)</f>
        <v>473.59864</v>
      </c>
      <c r="F6" s="9" t="n">
        <f aca="false">E6*Supuestos!$D$14+D6*Supuestos!$D$15</f>
        <v>10.6488796</v>
      </c>
      <c r="G6" s="9" t="n">
        <f aca="false">D6*Supuestos!$D$12/60*Supuestos!$D$13</f>
        <v>94.5306666666667</v>
      </c>
      <c r="H6" s="9" t="n">
        <f aca="false">Supuestos!$D$16+Supuestos!$D$17+Supuestos!$D$18+Supuestos!$D$19+Supuestos!$D$20+Supuestos!$D$21</f>
        <v>135</v>
      </c>
      <c r="I6" s="9" t="n">
        <f aca="false">B6*Supuestos!$D$11</f>
        <v>345.6</v>
      </c>
      <c r="J6" s="9" t="n">
        <f aca="false">E6-F6-G6-H6-I6</f>
        <v>-112.180906266667</v>
      </c>
      <c r="K6" s="9" t="n">
        <f aca="false">K5+J6</f>
        <v>-3580.7249196</v>
      </c>
      <c r="L6" s="10" t="n">
        <f aca="false">IF(E6=0,0,(E6-F6-G6)/E6)</f>
        <v>0.777914171656687</v>
      </c>
    </row>
    <row r="7" customFormat="false" ht="15" hidden="false" customHeight="false" outlineLevel="0" collapsed="false">
      <c r="A7" s="0" t="n">
        <v>4</v>
      </c>
      <c r="B7" s="8" t="n">
        <f aca="false">Supuestos!$D$5*(1+Supuestos!$D$6)^(4-1)</f>
        <v>6.912</v>
      </c>
      <c r="C7" s="8" t="n">
        <f aca="false">D6*Supuestos!$D$7</f>
        <v>0.425388</v>
      </c>
      <c r="D7" s="8" t="n">
        <f aca="false">D6+B7-C7</f>
        <v>20.666212</v>
      </c>
      <c r="E7" s="9" t="n">
        <f aca="false">D7*((1-Supuestos!$D$8)*Supuestos!$D$9+Supuestos!$D$8*Supuestos!$D$10)</f>
        <v>690.2514808</v>
      </c>
      <c r="F7" s="9" t="n">
        <f aca="false">E7*Supuestos!$D$14+D7*Supuestos!$D$15</f>
        <v>15.520325212</v>
      </c>
      <c r="G7" s="9" t="n">
        <f aca="false">D7*Supuestos!$D$12/60*Supuestos!$D$13</f>
        <v>137.774746666667</v>
      </c>
      <c r="H7" s="9" t="n">
        <f aca="false">Supuestos!$D$16+Supuestos!$D$17+Supuestos!$D$18+Supuestos!$D$19+Supuestos!$D$20+Supuestos!$D$21</f>
        <v>135</v>
      </c>
      <c r="I7" s="9" t="n">
        <f aca="false">B7*Supuestos!$D$11</f>
        <v>414.72</v>
      </c>
      <c r="J7" s="9" t="n">
        <f aca="false">E7-F7-G7-H7-I7</f>
        <v>-12.7635910786668</v>
      </c>
      <c r="K7" s="9" t="n">
        <f aca="false">K6+J7</f>
        <v>-3593.48851067867</v>
      </c>
      <c r="L7" s="10" t="n">
        <f aca="false">IF(E7=0,0,(E7-F7-G7)/E7)</f>
        <v>0.777914171656687</v>
      </c>
    </row>
    <row r="8" customFormat="false" ht="15" hidden="false" customHeight="false" outlineLevel="0" collapsed="false">
      <c r="A8" s="0" t="n">
        <v>5</v>
      </c>
      <c r="B8" s="8" t="n">
        <f aca="false">Supuestos!$D$5*(1+Supuestos!$D$6)^(5-1)</f>
        <v>8.2944</v>
      </c>
      <c r="C8" s="8" t="n">
        <f aca="false">D7*Supuestos!$D$7</f>
        <v>0.61998636</v>
      </c>
      <c r="D8" s="8" t="n">
        <f aca="false">D7+B8-C8</f>
        <v>28.34062564</v>
      </c>
      <c r="E8" s="9" t="n">
        <f aca="false">D8*((1-Supuestos!$D$8)*Supuestos!$D$9+Supuestos!$D$8*Supuestos!$D$10)</f>
        <v>946.576896376</v>
      </c>
      <c r="F8" s="9" t="n">
        <f aca="false">E8*Supuestos!$D$14+D8*Supuestos!$D$15</f>
        <v>21.28380985564</v>
      </c>
      <c r="G8" s="9" t="n">
        <f aca="false">D8*Supuestos!$D$12/60*Supuestos!$D$13</f>
        <v>188.937504266667</v>
      </c>
      <c r="H8" s="9" t="n">
        <f aca="false">Supuestos!$D$16+Supuestos!$D$17+Supuestos!$D$18+Supuestos!$D$19+Supuestos!$D$20+Supuestos!$D$21</f>
        <v>135</v>
      </c>
      <c r="I8" s="9" t="n">
        <f aca="false">B8*Supuestos!$D$11</f>
        <v>497.664</v>
      </c>
      <c r="J8" s="9" t="n">
        <f aca="false">E8-F8-G8-H8-I8</f>
        <v>103.691582253693</v>
      </c>
      <c r="K8" s="9" t="n">
        <f aca="false">K7+J8</f>
        <v>-3489.79692842497</v>
      </c>
      <c r="L8" s="10" t="n">
        <f aca="false">IF(E8=0,0,(E8-F8-G8)/E8)</f>
        <v>0.777914171656687</v>
      </c>
    </row>
    <row r="9" customFormat="false" ht="15" hidden="false" customHeight="false" outlineLevel="0" collapsed="false">
      <c r="A9" s="0" t="n">
        <v>6</v>
      </c>
      <c r="B9" s="8" t="n">
        <f aca="false">Supuestos!$D$5*(1+Supuestos!$D$6)^(6-1)</f>
        <v>9.95328</v>
      </c>
      <c r="C9" s="8" t="n">
        <f aca="false">D8*Supuestos!$D$7</f>
        <v>0.8502187692</v>
      </c>
      <c r="D9" s="8" t="n">
        <f aca="false">D8+B9-C9</f>
        <v>37.4436868708</v>
      </c>
      <c r="E9" s="9" t="n">
        <f aca="false">D9*((1-Supuestos!$D$8)*Supuestos!$D$9+Supuestos!$D$8*Supuestos!$D$10)</f>
        <v>1250.61914148472</v>
      </c>
      <c r="F9" s="9" t="n">
        <f aca="false">E9*Supuestos!$D$14+D9*Supuestos!$D$15</f>
        <v>28.1202088399708</v>
      </c>
      <c r="G9" s="9" t="n">
        <f aca="false">D9*Supuestos!$D$12/60*Supuestos!$D$13</f>
        <v>249.624579138667</v>
      </c>
      <c r="H9" s="9" t="n">
        <f aca="false">Supuestos!$D$16+Supuestos!$D$17+Supuestos!$D$18+Supuestos!$D$19+Supuestos!$D$20+Supuestos!$D$21</f>
        <v>135</v>
      </c>
      <c r="I9" s="9" t="n">
        <f aca="false">B9*Supuestos!$D$11</f>
        <v>597.1968</v>
      </c>
      <c r="J9" s="9" t="n">
        <f aca="false">E9-F9-G9-H9-I9</f>
        <v>240.677553506083</v>
      </c>
      <c r="K9" s="9" t="n">
        <f aca="false">K8+J9</f>
        <v>-3249.11937491889</v>
      </c>
      <c r="L9" s="10" t="n">
        <f aca="false">IF(E9=0,0,(E9-F9-G9)/E9)</f>
        <v>0.777914171656687</v>
      </c>
    </row>
    <row r="10" customFormat="false" ht="15" hidden="false" customHeight="false" outlineLevel="0" collapsed="false">
      <c r="A10" s="0" t="n">
        <v>7</v>
      </c>
      <c r="B10" s="8" t="n">
        <f aca="false">Supuestos!$D$5*(1+Supuestos!$D$6)^(7-1)</f>
        <v>11.943936</v>
      </c>
      <c r="C10" s="8" t="n">
        <f aca="false">D9*Supuestos!$D$7</f>
        <v>1.123310606124</v>
      </c>
      <c r="D10" s="8" t="n">
        <f aca="false">D9+B10-C10</f>
        <v>48.264312264676</v>
      </c>
      <c r="E10" s="9" t="n">
        <f aca="false">D10*((1-Supuestos!$D$8)*Supuestos!$D$9+Supuestos!$D$8*Supuestos!$D$10)</f>
        <v>1612.02802964018</v>
      </c>
      <c r="F10" s="9" t="n">
        <f aca="false">E10*Supuestos!$D$14+D10*Supuestos!$D$15</f>
        <v>36.2464985107717</v>
      </c>
      <c r="G10" s="9" t="n">
        <f aca="false">D10*Supuestos!$D$12/60*Supuestos!$D$13</f>
        <v>321.762081764507</v>
      </c>
      <c r="H10" s="9" t="n">
        <f aca="false">Supuestos!$D$16+Supuestos!$D$17+Supuestos!$D$18+Supuestos!$D$19+Supuestos!$D$20+Supuestos!$D$21</f>
        <v>135</v>
      </c>
      <c r="I10" s="9" t="n">
        <f aca="false">B10*Supuestos!$D$11</f>
        <v>716.63616</v>
      </c>
      <c r="J10" s="9" t="n">
        <f aca="false">E10-F10-G10-H10-I10</f>
        <v>402.3832893649</v>
      </c>
      <c r="K10" s="9" t="n">
        <f aca="false">K9+J10</f>
        <v>-2846.73608555399</v>
      </c>
      <c r="L10" s="10" t="n">
        <f aca="false">IF(E10=0,0,(E10-F10-G10)/E10)</f>
        <v>0.777914171656687</v>
      </c>
    </row>
    <row r="11" customFormat="false" ht="15" hidden="false" customHeight="false" outlineLevel="0" collapsed="false">
      <c r="A11" s="0" t="n">
        <v>8</v>
      </c>
      <c r="B11" s="8" t="n">
        <f aca="false">Supuestos!$D$5*(1+Supuestos!$D$6)^(8-1)</f>
        <v>14.3327232</v>
      </c>
      <c r="C11" s="8" t="n">
        <f aca="false">D10*Supuestos!$D$7</f>
        <v>1.44792936794028</v>
      </c>
      <c r="D11" s="8" t="n">
        <f aca="false">D10+B11-C11</f>
        <v>61.1491060967357</v>
      </c>
      <c r="E11" s="9" t="n">
        <f aca="false">D11*((1-Supuestos!$D$8)*Supuestos!$D$9+Supuestos!$D$8*Supuestos!$D$10)</f>
        <v>2042.38014363097</v>
      </c>
      <c r="F11" s="9" t="n">
        <f aca="false">E11*Supuestos!$D$14+D11*Supuestos!$D$15</f>
        <v>45.9229786786485</v>
      </c>
      <c r="G11" s="9" t="n">
        <f aca="false">D11*Supuestos!$D$12/60*Supuestos!$D$13</f>
        <v>407.660707311571</v>
      </c>
      <c r="H11" s="9" t="n">
        <f aca="false">Supuestos!$D$16+Supuestos!$D$17+Supuestos!$D$18+Supuestos!$D$19+Supuestos!$D$20+Supuestos!$D$21</f>
        <v>135</v>
      </c>
      <c r="I11" s="9" t="n">
        <f aca="false">B11*Supuestos!$D$11</f>
        <v>859.963392</v>
      </c>
      <c r="J11" s="9" t="n">
        <f aca="false">E11-F11-G11-H11-I11</f>
        <v>593.833065640753</v>
      </c>
      <c r="K11" s="9" t="n">
        <f aca="false">K10+J11</f>
        <v>-2252.90301991324</v>
      </c>
      <c r="L11" s="10" t="n">
        <f aca="false">IF(E11=0,0,(E11-F11-G11)/E11)</f>
        <v>0.777914171656687</v>
      </c>
    </row>
    <row r="12" customFormat="false" ht="15" hidden="false" customHeight="false" outlineLevel="0" collapsed="false">
      <c r="A12" s="0" t="n">
        <v>9</v>
      </c>
      <c r="B12" s="8" t="n">
        <f aca="false">Supuestos!$D$5*(1+Supuestos!$D$6)^(9-1)</f>
        <v>17.19926784</v>
      </c>
      <c r="C12" s="8" t="n">
        <f aca="false">D11*Supuestos!$D$7</f>
        <v>1.83447318290207</v>
      </c>
      <c r="D12" s="8" t="n">
        <f aca="false">D11+B12-C12</f>
        <v>76.5139007538336</v>
      </c>
      <c r="E12" s="9" t="n">
        <f aca="false">D12*((1-Supuestos!$D$8)*Supuestos!$D$9+Supuestos!$D$8*Supuestos!$D$10)</f>
        <v>2555.56428517804</v>
      </c>
      <c r="F12" s="9" t="n">
        <f aca="false">E12*Supuestos!$D$14+D12*Supuestos!$D$15</f>
        <v>57.4619394661291</v>
      </c>
      <c r="G12" s="9" t="n">
        <f aca="false">D12*Supuestos!$D$12/60*Supuestos!$D$13</f>
        <v>510.092671692224</v>
      </c>
      <c r="H12" s="9" t="n">
        <f aca="false">Supuestos!$D$16+Supuestos!$D$17+Supuestos!$D$18+Supuestos!$D$19+Supuestos!$D$20+Supuestos!$D$21</f>
        <v>135</v>
      </c>
      <c r="I12" s="9" t="n">
        <f aca="false">B12*Supuestos!$D$11</f>
        <v>1031.9560704</v>
      </c>
      <c r="J12" s="9" t="n">
        <f aca="false">E12-F12-G12-H12-I12</f>
        <v>821.053603619691</v>
      </c>
      <c r="K12" s="9" t="n">
        <f aca="false">K11+J12</f>
        <v>-1431.84941629355</v>
      </c>
      <c r="L12" s="10" t="n">
        <f aca="false">IF(E12=0,0,(E12-F12-G12)/E12)</f>
        <v>0.777914171656687</v>
      </c>
    </row>
    <row r="13" customFormat="false" ht="15" hidden="false" customHeight="false" outlineLevel="0" collapsed="false">
      <c r="A13" s="0" t="n">
        <v>10</v>
      </c>
      <c r="B13" s="8" t="n">
        <f aca="false">Supuestos!$D$5*(1+Supuestos!$D$6)^(10-1)</f>
        <v>20.639121408</v>
      </c>
      <c r="C13" s="8" t="n">
        <f aca="false">D12*Supuestos!$D$7</f>
        <v>2.29541702261501</v>
      </c>
      <c r="D13" s="8" t="n">
        <f aca="false">D12+B13-C13</f>
        <v>94.8576051392186</v>
      </c>
      <c r="E13" s="9" t="n">
        <f aca="false">D13*((1-Supuestos!$D$8)*Supuestos!$D$9+Supuestos!$D$8*Supuestos!$D$10)</f>
        <v>3168.2440116499</v>
      </c>
      <c r="F13" s="9" t="n">
        <f aca="false">E13*Supuestos!$D$14+D13*Supuestos!$D$15</f>
        <v>71.2380614595532</v>
      </c>
      <c r="G13" s="9" t="n">
        <f aca="false">D13*Supuestos!$D$12/60*Supuestos!$D$13</f>
        <v>632.384034261458</v>
      </c>
      <c r="H13" s="9" t="n">
        <f aca="false">Supuestos!$D$16+Supuestos!$D$17+Supuestos!$D$18+Supuestos!$D$19+Supuestos!$D$20+Supuestos!$D$21</f>
        <v>135</v>
      </c>
      <c r="I13" s="9" t="n">
        <f aca="false">B13*Supuestos!$D$11</f>
        <v>1238.34728448</v>
      </c>
      <c r="J13" s="9" t="n">
        <f aca="false">E13-F13-G13-H13-I13</f>
        <v>1091.27463144889</v>
      </c>
      <c r="K13" s="9" t="n">
        <f aca="false">K12+J13</f>
        <v>-340.574784844655</v>
      </c>
      <c r="L13" s="10" t="n">
        <f aca="false">IF(E13=0,0,(E13-F13-G13)/E13)</f>
        <v>0.777914171656687</v>
      </c>
    </row>
    <row r="14" customFormat="false" ht="15" hidden="false" customHeight="false" outlineLevel="0" collapsed="false">
      <c r="A14" s="0" t="n">
        <v>11</v>
      </c>
      <c r="B14" s="8" t="n">
        <f aca="false">Supuestos!$D$5*(1+Supuestos!$D$6)^(11-1)</f>
        <v>24.7669456896</v>
      </c>
      <c r="C14" s="8" t="n">
        <f aca="false">D13*Supuestos!$D$7</f>
        <v>2.84572815417656</v>
      </c>
      <c r="D14" s="8" t="n">
        <f aca="false">D13+B14-C14</f>
        <v>116.778822674642</v>
      </c>
      <c r="E14" s="9" t="n">
        <f aca="false">D14*((1-Supuestos!$D$8)*Supuestos!$D$9+Supuestos!$D$8*Supuestos!$D$10)</f>
        <v>3900.41267733304</v>
      </c>
      <c r="F14" s="9" t="n">
        <f aca="false">E14*Supuestos!$D$14+D14*Supuestos!$D$15</f>
        <v>87.7008958286562</v>
      </c>
      <c r="G14" s="9" t="n">
        <f aca="false">D14*Supuestos!$D$12/60*Supuestos!$D$13</f>
        <v>778.525484497614</v>
      </c>
      <c r="H14" s="9" t="n">
        <f aca="false">Supuestos!$D$16+Supuestos!$D$17+Supuestos!$D$18+Supuestos!$D$19+Supuestos!$D$20+Supuestos!$D$21</f>
        <v>135</v>
      </c>
      <c r="I14" s="9" t="n">
        <f aca="false">B14*Supuestos!$D$11</f>
        <v>1486.016741376</v>
      </c>
      <c r="J14" s="9" t="n">
        <f aca="false">E14-F14-G14-H14-I14</f>
        <v>1413.16955563078</v>
      </c>
      <c r="K14" s="9" t="n">
        <f aca="false">K13+J14</f>
        <v>1072.59477078612</v>
      </c>
      <c r="L14" s="10" t="n">
        <f aca="false">IF(E14=0,0,(E14-F14-G14)/E14)</f>
        <v>0.777914171656687</v>
      </c>
    </row>
    <row r="15" customFormat="false" ht="15" hidden="false" customHeight="false" outlineLevel="0" collapsed="false">
      <c r="A15" s="0" t="n">
        <v>12</v>
      </c>
      <c r="B15" s="8" t="n">
        <f aca="false">Supuestos!$D$5*(1+Supuestos!$D$6)^(12-1)</f>
        <v>29.72033482752</v>
      </c>
      <c r="C15" s="8" t="n">
        <f aca="false">D14*Supuestos!$D$7</f>
        <v>3.50336468023926</v>
      </c>
      <c r="D15" s="8" t="n">
        <f aca="false">D14+B15-C15</f>
        <v>142.995792821923</v>
      </c>
      <c r="E15" s="9" t="n">
        <f aca="false">D15*((1-Supuestos!$D$8)*Supuestos!$D$9+Supuestos!$D$8*Supuestos!$D$10)</f>
        <v>4776.05948025222</v>
      </c>
      <c r="F15" s="9" t="n">
        <f aca="false">E15*Supuestos!$D$14+D15*Supuestos!$D$15</f>
        <v>107.389840409264</v>
      </c>
      <c r="G15" s="9" t="n">
        <f aca="false">D15*Supuestos!$D$12/60*Supuestos!$D$13</f>
        <v>953.305285479485</v>
      </c>
      <c r="H15" s="9" t="n">
        <f aca="false">Supuestos!$D$16+Supuestos!$D$17+Supuestos!$D$18+Supuestos!$D$19+Supuestos!$D$20+Supuestos!$D$21</f>
        <v>135</v>
      </c>
      <c r="I15" s="9" t="n">
        <f aca="false">B15*Supuestos!$D$11</f>
        <v>1783.2200896512</v>
      </c>
      <c r="J15" s="9" t="n">
        <f aca="false">E15-F15-G15-H15-I15</f>
        <v>1797.14426471227</v>
      </c>
      <c r="K15" s="9" t="n">
        <f aca="false">K14+J15</f>
        <v>2869.73903549839</v>
      </c>
      <c r="L15" s="10" t="n">
        <f aca="false">IF(E15=0,0,(E15-F15-G15)/E15)</f>
        <v>0.777914171656687</v>
      </c>
    </row>
    <row r="17" customFormat="false" ht="15" hidden="false" customHeight="false" outlineLevel="0" collapsed="false">
      <c r="A17" s="2" t="s">
        <v>64</v>
      </c>
    </row>
    <row r="18" customFormat="false" ht="15" hidden="false" customHeight="false" outlineLevel="0" collapsed="false">
      <c r="A18" s="0" t="s">
        <v>65</v>
      </c>
      <c r="B18" s="9" t="n">
        <f aca="false">E15</f>
        <v>4776.05948025222</v>
      </c>
    </row>
    <row r="19" customFormat="false" ht="15" hidden="false" customHeight="false" outlineLevel="0" collapsed="false">
      <c r="A19" s="0" t="s">
        <v>66</v>
      </c>
      <c r="B19" s="9" t="n">
        <f aca="false">B18*12</f>
        <v>57312.7137630267</v>
      </c>
    </row>
    <row r="20" customFormat="false" ht="15" hidden="false" customHeight="false" outlineLevel="0" collapsed="false">
      <c r="A20" s="0" t="s">
        <v>67</v>
      </c>
      <c r="B20" s="8" t="n">
        <f aca="false">D15</f>
        <v>142.995792821923</v>
      </c>
    </row>
    <row r="21" customFormat="false" ht="15" hidden="false" customHeight="false" outlineLevel="0" collapsed="false">
      <c r="A21" s="0" t="s">
        <v>68</v>
      </c>
      <c r="B21" s="9" t="n">
        <f aca="false">K15</f>
        <v>2869.73903549839</v>
      </c>
    </row>
    <row r="22" customFormat="false" ht="15" hidden="false" customHeight="false" outlineLevel="0" collapsed="false">
      <c r="A22" s="0" t="s">
        <v>69</v>
      </c>
      <c r="B22" s="0" t="n">
        <f aca="false">IFERROR(INDEX(A4:A15,MATCH(TRUE(),INDEX(J4:J15&gt;0,0),0)),"no en 12 meses")</f>
        <v>5</v>
      </c>
    </row>
    <row r="23" customFormat="false" ht="15" hidden="false" customHeight="false" outlineLevel="0" collapsed="false">
      <c r="A23" s="0" t="s">
        <v>70</v>
      </c>
      <c r="B23" s="11" t="n">
        <f aca="false">((1-Supuestos!$D$8)*Supuestos!$D$9+Supuestos!$D$8*Supuestos!$D$10)</f>
        <v>33.4</v>
      </c>
    </row>
    <row r="24" customFormat="false" ht="15" hidden="false" customHeight="false" outlineLevel="0" collapsed="false">
      <c r="A24" s="0" t="s">
        <v>71</v>
      </c>
      <c r="B24" s="8" t="n">
        <f aca="false">IFERROR(Supuestos!$D$11/(((1-Supuestos!$D$8)*Supuestos!$D$9+Supuestos!$D$8*Supuestos!$D$10)*(1-Supuestos!$D$14)-Supuestos!$D$15-Supuestos!$D$12/60*Supuestos!$D$13),"n/d")</f>
        <v>2.30926142122211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2026-10-25T18:20:27Z</dcterms:created>
  <dc:creator>openpyxl</dc:creator>
  <dc:description/>
  <dc:language>en-US</dc:language>
  <cp:lastModifiedBy/>
  <dcterms:modified xsi:type="dcterms:W3CDTF">2026-10-25T18:20:27Z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